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A3520F5D-6BAA-4F55-BF97-A3D98F81AFE8}" xr6:coauthVersionLast="47" xr6:coauthVersionMax="47" xr10:uidLastSave="{00000000-0000-0000-0000-000000000000}"/>
  <bookViews>
    <workbookView minimized="1" xWindow="5280" yWindow="5280" windowWidth="28800" windowHeight="15370" xr2:uid="{DBA85C1D-3EE0-46D8-A61E-1E1C748950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1" l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4" i="1"/>
  <c r="P3" i="1"/>
  <c r="N6" i="1"/>
  <c r="N7" i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/>
  <c r="N29" i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4" i="1"/>
  <c r="N3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/>
  <c r="G27" i="1"/>
  <c r="G28" i="1"/>
  <c r="G29" i="1"/>
  <c r="G30" i="1"/>
  <c r="G31" i="1"/>
  <c r="G32" i="1"/>
  <c r="G33" i="1"/>
  <c r="G34" i="1"/>
  <c r="G35" i="1"/>
  <c r="G36" i="1"/>
  <c r="G37" i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/>
  <c r="G91" i="1"/>
  <c r="G92" i="1"/>
  <c r="G93" i="1"/>
  <c r="G94" i="1"/>
  <c r="G95" i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5" i="1"/>
  <c r="G4" i="1"/>
  <c r="P5" i="1" l="1"/>
  <c r="N5" i="1"/>
  <c r="H4" i="1"/>
  <c r="H5" i="1" l="1"/>
  <c r="H6" i="1" l="1"/>
  <c r="H7" i="1" l="1"/>
  <c r="H8" i="1" l="1"/>
  <c r="H9" i="1" l="1"/>
  <c r="H10" i="1" l="1"/>
  <c r="H11" i="1" l="1"/>
  <c r="H12" i="1" l="1"/>
  <c r="H13" i="1" l="1"/>
  <c r="H14" i="1" l="1"/>
  <c r="H15" i="1" l="1"/>
  <c r="H16" i="1" l="1"/>
  <c r="H17" i="1" l="1"/>
  <c r="H18" i="1" l="1"/>
  <c r="H19" i="1" l="1"/>
  <c r="H20" i="1" l="1"/>
  <c r="H21" i="1" l="1"/>
  <c r="H22" i="1" l="1"/>
  <c r="H23" i="1" l="1"/>
  <c r="H24" i="1" l="1"/>
  <c r="H25" i="1" l="1"/>
  <c r="H26" i="1" l="1"/>
  <c r="H27" i="1" l="1"/>
  <c r="H28" i="1" l="1"/>
  <c r="H29" i="1" l="1"/>
  <c r="H30" i="1" l="1"/>
  <c r="H31" i="1" l="1"/>
  <c r="H32" i="1" l="1"/>
  <c r="H33" i="1" l="1"/>
  <c r="H34" i="1" l="1"/>
  <c r="H35" i="1" l="1"/>
  <c r="H36" i="1" l="1"/>
  <c r="H37" i="1" l="1"/>
  <c r="H38" i="1" l="1"/>
  <c r="H39" i="1" l="1"/>
  <c r="H40" i="1" l="1"/>
  <c r="H41" i="1" l="1"/>
  <c r="H42" i="1" l="1"/>
  <c r="H43" i="1" l="1"/>
  <c r="H44" i="1" l="1"/>
  <c r="H45" i="1" l="1"/>
  <c r="H46" i="1" l="1"/>
  <c r="H47" i="1" l="1"/>
  <c r="H48" i="1" l="1"/>
  <c r="H49" i="1" l="1"/>
  <c r="H50" i="1" l="1"/>
  <c r="H51" i="1" l="1"/>
  <c r="H52" i="1" l="1"/>
  <c r="H53" i="1" l="1"/>
  <c r="H54" i="1" l="1"/>
  <c r="H55" i="1" l="1"/>
  <c r="H56" i="1" l="1"/>
  <c r="H57" i="1" l="1"/>
  <c r="H58" i="1" l="1"/>
  <c r="H59" i="1" l="1"/>
  <c r="H60" i="1" l="1"/>
  <c r="H61" i="1" l="1"/>
  <c r="H62" i="1" l="1"/>
  <c r="H63" i="1" l="1"/>
  <c r="H64" i="1" l="1"/>
  <c r="H65" i="1" l="1"/>
  <c r="H66" i="1" l="1"/>
  <c r="H67" i="1" l="1"/>
  <c r="H68" i="1" l="1"/>
  <c r="H69" i="1" l="1"/>
  <c r="H70" i="1" l="1"/>
  <c r="H71" i="1" l="1"/>
  <c r="H72" i="1" l="1"/>
  <c r="H73" i="1" l="1"/>
  <c r="H74" i="1" l="1"/>
  <c r="H75" i="1" l="1"/>
  <c r="H76" i="1" l="1"/>
  <c r="H77" i="1" l="1"/>
  <c r="H78" i="1" l="1"/>
  <c r="H79" i="1" l="1"/>
  <c r="H80" i="1" l="1"/>
  <c r="H81" i="1" l="1"/>
  <c r="H82" i="1" l="1"/>
  <c r="H83" i="1" l="1"/>
  <c r="H84" i="1" l="1"/>
  <c r="H85" i="1" l="1"/>
  <c r="H86" i="1" l="1"/>
  <c r="H87" i="1" l="1"/>
  <c r="H88" i="1" l="1"/>
  <c r="H89" i="1" l="1"/>
  <c r="H90" i="1" l="1"/>
  <c r="H91" i="1" l="1"/>
  <c r="H92" i="1" l="1"/>
  <c r="H93" i="1" l="1"/>
  <c r="H94" i="1" l="1"/>
  <c r="H95" i="1" l="1"/>
  <c r="H96" i="1" l="1"/>
  <c r="H97" i="1" l="1"/>
  <c r="H98" i="1" l="1"/>
  <c r="H99" i="1" l="1"/>
  <c r="H100" i="1" l="1"/>
  <c r="H101" i="1" l="1"/>
  <c r="H102" i="1" l="1"/>
  <c r="H103" i="1" l="1"/>
  <c r="H104" i="1" l="1"/>
  <c r="H105" i="1" l="1"/>
  <c r="H106" i="1" l="1"/>
  <c r="H107" i="1" l="1"/>
  <c r="H108" i="1" l="1"/>
  <c r="H109" i="1" l="1"/>
  <c r="H110" i="1" l="1"/>
  <c r="H111" i="1" l="1"/>
  <c r="H112" i="1" l="1"/>
  <c r="H113" i="1" l="1"/>
  <c r="H114" i="1" l="1"/>
  <c r="H115" i="1" l="1"/>
  <c r="H116" i="1" l="1"/>
  <c r="H117" i="1" l="1"/>
  <c r="H118" i="1" l="1"/>
  <c r="H119" i="1" l="1"/>
  <c r="H120" i="1" l="1"/>
  <c r="H121" i="1" l="1"/>
  <c r="H122" i="1" l="1"/>
  <c r="H123" i="1" l="1"/>
  <c r="H124" i="1" l="1"/>
  <c r="H125" i="1" l="1"/>
  <c r="H126" i="1" l="1"/>
  <c r="H127" i="1" l="1"/>
  <c r="H128" i="1" l="1"/>
  <c r="H129" i="1" l="1"/>
  <c r="H130" i="1" l="1"/>
  <c r="H131" i="1" l="1"/>
  <c r="H132" i="1" l="1"/>
  <c r="H133" i="1" l="1"/>
  <c r="H134" i="1" l="1"/>
  <c r="H135" i="1" l="1"/>
  <c r="H136" i="1" l="1"/>
  <c r="H137" i="1" l="1"/>
  <c r="H138" i="1" l="1"/>
  <c r="H139" i="1" l="1"/>
  <c r="H140" i="1" l="1"/>
  <c r="H141" i="1" l="1"/>
  <c r="H142" i="1" l="1"/>
  <c r="H143" i="1" l="1"/>
  <c r="H144" i="1" l="1"/>
  <c r="H145" i="1" l="1"/>
  <c r="H146" i="1" l="1"/>
  <c r="H147" i="1" l="1"/>
  <c r="H148" i="1" l="1"/>
  <c r="H149" i="1" l="1"/>
  <c r="H150" i="1" l="1"/>
  <c r="H151" i="1" l="1"/>
  <c r="H152" i="1" l="1"/>
  <c r="H153" i="1" l="1"/>
  <c r="H154" i="1" l="1"/>
  <c r="H155" i="1" l="1"/>
  <c r="H156" i="1" l="1"/>
  <c r="H157" i="1" l="1"/>
  <c r="H158" i="1" l="1"/>
  <c r="H159" i="1" l="1"/>
  <c r="H160" i="1" l="1"/>
  <c r="H161" i="1" l="1"/>
  <c r="H162" i="1" l="1"/>
  <c r="H163" i="1" l="1"/>
  <c r="H164" i="1" l="1"/>
  <c r="H165" i="1" l="1"/>
  <c r="H166" i="1" l="1"/>
  <c r="H167" i="1" l="1"/>
  <c r="H168" i="1" l="1"/>
  <c r="H169" i="1" l="1"/>
  <c r="H170" i="1" l="1"/>
  <c r="H171" i="1" l="1"/>
  <c r="H172" i="1" l="1"/>
  <c r="H173" i="1" l="1"/>
  <c r="H174" i="1" l="1"/>
  <c r="H175" i="1" l="1"/>
  <c r="H176" i="1" l="1"/>
  <c r="H177" i="1" l="1"/>
  <c r="H178" i="1" l="1"/>
  <c r="H179" i="1" l="1"/>
  <c r="H180" i="1" l="1"/>
  <c r="H181" i="1" l="1"/>
  <c r="H182" i="1" l="1"/>
  <c r="H183" i="1" l="1"/>
  <c r="H184" i="1" l="1"/>
  <c r="H185" i="1" l="1"/>
  <c r="H186" i="1" l="1"/>
  <c r="H187" i="1" l="1"/>
  <c r="H188" i="1" l="1"/>
  <c r="H189" i="1" l="1"/>
  <c r="H190" i="1" l="1"/>
  <c r="H191" i="1" l="1"/>
  <c r="H192" i="1" l="1"/>
  <c r="H193" i="1" l="1"/>
  <c r="H194" i="1" l="1"/>
  <c r="H195" i="1" l="1"/>
  <c r="H196" i="1" l="1"/>
  <c r="H197" i="1" l="1"/>
  <c r="H198" i="1" l="1"/>
  <c r="H199" i="1" l="1"/>
  <c r="H200" i="1" l="1"/>
  <c r="H201" i="1" l="1"/>
  <c r="H202" i="1" l="1"/>
  <c r="H203" i="1" l="1"/>
  <c r="H204" i="1" l="1"/>
  <c r="H205" i="1" l="1"/>
  <c r="H206" i="1" l="1"/>
  <c r="H207" i="1" l="1"/>
  <c r="H208" i="1" l="1"/>
  <c r="H209" i="1" l="1"/>
  <c r="H210" i="1" l="1"/>
  <c r="H211" i="1" l="1"/>
  <c r="H212" i="1" l="1"/>
  <c r="H213" i="1" l="1"/>
  <c r="H214" i="1" l="1"/>
  <c r="H215" i="1" l="1"/>
  <c r="H216" i="1" l="1"/>
  <c r="H217" i="1" l="1"/>
  <c r="H218" i="1" l="1"/>
  <c r="H219" i="1" l="1"/>
  <c r="H220" i="1" l="1"/>
  <c r="H221" i="1" l="1"/>
  <c r="H222" i="1" l="1"/>
  <c r="H223" i="1" l="1"/>
  <c r="H224" i="1" l="1"/>
  <c r="H225" i="1" l="1"/>
  <c r="H226" i="1" l="1"/>
  <c r="H227" i="1" l="1"/>
  <c r="H228" i="1" l="1"/>
  <c r="H229" i="1" l="1"/>
  <c r="H230" i="1" l="1"/>
  <c r="H231" i="1" l="1"/>
  <c r="H232" i="1" l="1"/>
  <c r="H233" i="1" l="1"/>
  <c r="H234" i="1" l="1"/>
  <c r="H235" i="1" l="1"/>
  <c r="H236" i="1" l="1"/>
  <c r="H237" i="1" l="1"/>
  <c r="H238" i="1" l="1"/>
  <c r="H239" i="1" l="1"/>
  <c r="H240" i="1" l="1"/>
  <c r="H241" i="1" l="1"/>
  <c r="H242" i="1" l="1"/>
  <c r="H243" i="1" l="1"/>
  <c r="H244" i="1" l="1"/>
  <c r="H245" i="1" l="1"/>
  <c r="H246" i="1" l="1"/>
  <c r="H247" i="1" l="1"/>
  <c r="H248" i="1" l="1"/>
  <c r="H249" i="1" l="1"/>
  <c r="H250" i="1" l="1"/>
  <c r="H251" i="1" l="1"/>
  <c r="H252" i="1" l="1"/>
  <c r="H253" i="1" l="1"/>
  <c r="H254" i="1" l="1"/>
  <c r="H255" i="1" l="1"/>
  <c r="H256" i="1" l="1"/>
  <c r="H257" i="1" l="1"/>
  <c r="H258" i="1"/>
</calcChain>
</file>

<file path=xl/sharedStrings.xml><?xml version="1.0" encoding="utf-8"?>
<sst xmlns="http://schemas.openxmlformats.org/spreadsheetml/2006/main" count="36" uniqueCount="18">
  <si>
    <t>TH0</t>
  </si>
  <si>
    <t>V_TH0</t>
  </si>
  <si>
    <t>TH1</t>
  </si>
  <si>
    <t>VTH1</t>
  </si>
  <si>
    <t>TH2</t>
  </si>
  <si>
    <t>VTH2</t>
  </si>
  <si>
    <t>| Vsignal | (V)</t>
  </si>
  <si>
    <t>ADC Value</t>
  </si>
  <si>
    <t>air gap (mm)</t>
  </si>
  <si>
    <t>Energy (eV)</t>
  </si>
  <si>
    <t>interpolated energy (eV)</t>
  </si>
  <si>
    <t>BASELINE</t>
  </si>
  <si>
    <t>Vth_bl = 105</t>
  </si>
  <si>
    <t>Bruit électronique</t>
  </si>
  <si>
    <t>&lt;--------------</t>
  </si>
  <si>
    <t>&lt;-------------------------------</t>
  </si>
  <si>
    <t>SET</t>
  </si>
  <si>
    <t xml:space="preserve">~ µ -3,σ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</si>
</sst>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0" xfId="0" applyFill="1"/>
    <xf numFmtId="0" fontId="0" fillId="3" borderId="1" xfId="0" applyFill="1" applyBorder="1"/>
    <xf numFmtId="0" fontId="0" fillId="3" borderId="5" xfId="0" applyFill="1" applyBorder="1"/>
    <xf numFmtId="0" fontId="0" fillId="4" borderId="0" xfId="0" applyFill="1"/>
    <xf numFmtId="0" fontId="0" fillId="5" borderId="0" xfId="0" applyFill="1"/>
    <xf numFmtId="0" fontId="0" fillId="3" borderId="6" xfId="0" applyFill="1" applyBorder="1"/>
    <xf numFmtId="0" fontId="0" fillId="6" borderId="0" xfId="0" applyFill="1"/>
    <xf numFmtId="0" fontId="0" fillId="6" borderId="1" xfId="0" applyFill="1" applyBorder="1"/>
    <xf numFmtId="0" fontId="0" fillId="6" borderId="3" xfId="0" applyFill="1" applyBorder="1"/>
    <xf numFmtId="0" fontId="0" fillId="6" borderId="0" xfId="0" applyFill="1" applyAlignment="1">
      <alignment horizontal="center"/>
    </xf>
    <xf numFmtId="0" fontId="1" fillId="7" borderId="0" xfId="0" applyFont="1" applyFill="1"/>
    <xf numFmtId="0" fontId="2" fillId="0" borderId="0" xfId="0" applyFont="1"/>
    <xf numFmtId="0" fontId="0" fillId="5" borderId="1" xfId="0" applyFill="1" applyBorder="1"/>
    <xf numFmtId="0" fontId="0" fillId="5" borderId="3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5" xfId="0" applyFill="1" applyBorder="1"/>
    <xf numFmtId="0" fontId="0" fillId="5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342900</xdr:colOff>
      <xdr:row>0</xdr:row>
      <xdr:rowOff>88900</xdr:rowOff>
    </xdr:from>
    <xdr:to>
      <xdr:col>31</xdr:col>
      <xdr:colOff>266700</xdr:colOff>
      <xdr:row>38</xdr:row>
      <xdr:rowOff>152400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52C6447-C6E7-46DE-B2D0-ECF270D8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8600" y="88900"/>
          <a:ext cx="10591800" cy="7061200"/>
        </a:xfrm>
        <a:prstGeom prst="rect">
          <a:avLst/>
        </a:prstGeom>
      </xdr:spPr>
    </xdr:pic>
    <xdr:clientData/>
  </xdr:twoCellAnchor>
  <xdr:twoCellAnchor editAs="oneCell">
    <xdr:from>
      <xdr:col>16</xdr:col>
      <xdr:colOff>704849</xdr:colOff>
      <xdr:row>40</xdr:row>
      <xdr:rowOff>31750</xdr:rowOff>
    </xdr:from>
    <xdr:to>
      <xdr:col>38</xdr:col>
      <xdr:colOff>507573</xdr:colOff>
      <xdr:row>93</xdr:row>
      <xdr:rowOff>95250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E8D5CE7-D006-4B6A-BF31-91F0898E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1999" y="7397750"/>
          <a:ext cx="16903274" cy="982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20F6-22A6-40FF-8639-1B40917DEAF0}">
  <dimension ref="A1:V258"/>
  <sheetViews>
    <sheetView tabSelected="1" zoomScaleNormal="100" workbookViewId="0">
      <selection activeCell="AI13" sqref="AI13"/>
    </sheetView>
  </sheetViews>
  <sheetFormatPr baseColWidth="10" defaultRowHeight="14.5" x14ac:dyDescent="0.35"/>
  <cols>
    <col min="1" max="1" width="11.08984375" customWidth="1"/>
    <col min="7" max="7" width="12.36328125" bestFit="1" customWidth="1"/>
    <col min="8" max="8" width="9.54296875" bestFit="1" customWidth="1"/>
    <col min="11" max="11" width="21.453125" bestFit="1" customWidth="1"/>
    <col min="13" max="13" width="8.81640625" bestFit="1" customWidth="1"/>
    <col min="14" max="14" width="12.36328125" bestFit="1" customWidth="1"/>
    <col min="15" max="15" width="8.81640625" bestFit="1" customWidth="1"/>
    <col min="17" max="17" width="15.7265625" bestFit="1" customWidth="1"/>
  </cols>
  <sheetData>
    <row r="1" spans="1:18" x14ac:dyDescent="0.35">
      <c r="A1" s="15" t="s">
        <v>12</v>
      </c>
      <c r="B1" s="16" t="s">
        <v>14</v>
      </c>
      <c r="C1" s="16" t="s">
        <v>14</v>
      </c>
      <c r="D1" s="16" t="s">
        <v>14</v>
      </c>
      <c r="E1" s="16" t="s">
        <v>14</v>
      </c>
      <c r="F1" s="16" t="s">
        <v>14</v>
      </c>
      <c r="G1" s="16" t="s">
        <v>14</v>
      </c>
      <c r="H1" s="16" t="s">
        <v>14</v>
      </c>
      <c r="I1" s="16" t="s">
        <v>14</v>
      </c>
      <c r="J1" s="16" t="s">
        <v>14</v>
      </c>
      <c r="K1" s="16" t="s">
        <v>15</v>
      </c>
      <c r="L1" s="16" t="s">
        <v>14</v>
      </c>
      <c r="M1" s="16" t="s">
        <v>14</v>
      </c>
      <c r="N1" s="16" t="s">
        <v>14</v>
      </c>
      <c r="O1" s="16" t="s">
        <v>14</v>
      </c>
      <c r="P1" s="16" t="s">
        <v>14</v>
      </c>
      <c r="Q1" s="16" t="s">
        <v>14</v>
      </c>
      <c r="R1" s="16" t="s">
        <v>16</v>
      </c>
    </row>
    <row r="2" spans="1:18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3" t="s">
        <v>9</v>
      </c>
      <c r="K2" s="4" t="s">
        <v>10</v>
      </c>
      <c r="M2" s="2" t="s">
        <v>3</v>
      </c>
      <c r="N2" s="1" t="s">
        <v>6</v>
      </c>
      <c r="O2" s="1" t="s">
        <v>5</v>
      </c>
      <c r="P2" s="1" t="s">
        <v>6</v>
      </c>
    </row>
    <row r="3" spans="1:18" s="5" customFormat="1" x14ac:dyDescent="0.35">
      <c r="A3" s="5">
        <v>255</v>
      </c>
      <c r="B3" s="5">
        <v>1.5838890000000001</v>
      </c>
      <c r="C3" s="5">
        <v>252</v>
      </c>
      <c r="D3" s="5">
        <v>1.5815269999999999</v>
      </c>
      <c r="E3" s="5">
        <v>237</v>
      </c>
      <c r="F3" s="5">
        <v>1.583744</v>
      </c>
      <c r="G3" s="6">
        <v>0</v>
      </c>
      <c r="H3" s="6">
        <v>0</v>
      </c>
      <c r="I3" s="6"/>
      <c r="J3" s="10"/>
      <c r="K3" s="7"/>
      <c r="M3" s="5">
        <v>1.5815269999999999</v>
      </c>
      <c r="N3" s="5">
        <f>B3-D3</f>
        <v>2.3620000000001973E-3</v>
      </c>
      <c r="O3" s="5">
        <v>1.583744</v>
      </c>
      <c r="P3" s="5">
        <f>B3-O3</f>
        <v>1.4500000000006175E-4</v>
      </c>
      <c r="Q3" s="5" t="s">
        <v>11</v>
      </c>
    </row>
    <row r="4" spans="1:18" x14ac:dyDescent="0.35">
      <c r="A4" s="11">
        <v>254</v>
      </c>
      <c r="B4" s="11">
        <v>1.5809340000000001</v>
      </c>
      <c r="C4" s="11">
        <v>251</v>
      </c>
      <c r="D4" s="11">
        <v>1.5798430000000001</v>
      </c>
      <c r="E4" s="11">
        <v>236</v>
      </c>
      <c r="F4" s="11">
        <v>1.5807789999999999</v>
      </c>
      <c r="G4" s="12">
        <f>B3-B4</f>
        <v>2.9550000000000409E-3</v>
      </c>
      <c r="H4" s="12">
        <f>INT(G4/(6.1*10^(-5)))</f>
        <v>48</v>
      </c>
      <c r="I4" s="13"/>
      <c r="J4" s="12"/>
      <c r="K4" s="12"/>
      <c r="L4" s="11"/>
      <c r="M4" s="11">
        <v>1.5798430000000001</v>
      </c>
      <c r="N4" s="11">
        <f>M3-M4+N3</f>
        <v>4.045999999999994E-3</v>
      </c>
      <c r="O4" s="11">
        <v>1.5807789999999999</v>
      </c>
      <c r="P4" s="11">
        <f>O3-O4+P3</f>
        <v>3.1100000000001682E-3</v>
      </c>
    </row>
    <row r="5" spans="1:18" x14ac:dyDescent="0.35">
      <c r="A5" s="11">
        <v>253</v>
      </c>
      <c r="B5" s="11">
        <v>1.5790770000000001</v>
      </c>
      <c r="C5" s="11">
        <v>250</v>
      </c>
      <c r="D5" s="11">
        <v>1.5765659999999999</v>
      </c>
      <c r="E5" s="11">
        <v>235</v>
      </c>
      <c r="F5" s="11">
        <v>1.5787089999999999</v>
      </c>
      <c r="G5" s="12">
        <f>G4+(B4-B5)</f>
        <v>4.8120000000000385E-3</v>
      </c>
      <c r="H5" s="12">
        <f t="shared" ref="H5:H68" si="0">INT(G5/(6.1*10^(-5)))</f>
        <v>78</v>
      </c>
      <c r="I5" s="13"/>
      <c r="J5" s="12"/>
      <c r="K5" s="12"/>
      <c r="L5" s="11"/>
      <c r="M5" s="11">
        <v>1.5765659999999999</v>
      </c>
      <c r="N5" s="11">
        <f>N4+(M4-M5)</f>
        <v>7.3230000000001905E-3</v>
      </c>
      <c r="O5" s="11">
        <v>1.5787089999999999</v>
      </c>
      <c r="P5" s="11">
        <f>P4+(O4-O5)</f>
        <v>5.1800000000001845E-3</v>
      </c>
    </row>
    <row r="6" spans="1:18" x14ac:dyDescent="0.35">
      <c r="A6" s="11">
        <v>252</v>
      </c>
      <c r="B6" s="11">
        <v>1.5759000000000001</v>
      </c>
      <c r="C6" s="11">
        <v>249</v>
      </c>
      <c r="D6" s="11">
        <v>1.5743579999999999</v>
      </c>
      <c r="E6" s="11">
        <v>234</v>
      </c>
      <c r="F6" s="11">
        <v>1.5756810000000001</v>
      </c>
      <c r="G6" s="12">
        <f t="shared" ref="G6:G69" si="1">G5+(B5-B6)</f>
        <v>7.9890000000000239E-3</v>
      </c>
      <c r="H6" s="12">
        <f t="shared" si="0"/>
        <v>130</v>
      </c>
      <c r="I6" s="13"/>
      <c r="J6" s="12"/>
      <c r="K6" s="12"/>
      <c r="L6" s="11"/>
      <c r="M6" s="11">
        <v>1.5743579999999999</v>
      </c>
      <c r="N6" s="11">
        <f t="shared" ref="N6:N69" si="2">N5+(M5-M6)</f>
        <v>9.5310000000001782E-3</v>
      </c>
      <c r="O6" s="11">
        <v>1.5756810000000001</v>
      </c>
      <c r="P6" s="11">
        <f t="shared" ref="P6:P69" si="3">P5+(O5-O6)</f>
        <v>8.2079999999999931E-3</v>
      </c>
    </row>
    <row r="7" spans="1:18" x14ac:dyDescent="0.35">
      <c r="A7" s="11">
        <v>251</v>
      </c>
      <c r="B7" s="11">
        <v>1.5737270000000001</v>
      </c>
      <c r="C7" s="11">
        <v>248</v>
      </c>
      <c r="D7" s="11">
        <v>1.5712379999999999</v>
      </c>
      <c r="E7" s="11">
        <v>233</v>
      </c>
      <c r="F7" s="11">
        <v>1.5729500000000001</v>
      </c>
      <c r="G7" s="12">
        <f t="shared" si="1"/>
        <v>1.0162000000000004E-2</v>
      </c>
      <c r="H7" s="12">
        <f t="shared" si="0"/>
        <v>166</v>
      </c>
      <c r="I7" s="13"/>
      <c r="J7" s="12"/>
      <c r="K7" s="12"/>
      <c r="L7" s="11"/>
      <c r="M7" s="11">
        <v>1.5712379999999999</v>
      </c>
      <c r="N7" s="11">
        <f t="shared" si="2"/>
        <v>1.265100000000019E-2</v>
      </c>
      <c r="O7" s="11">
        <v>1.5729500000000001</v>
      </c>
      <c r="P7" s="11">
        <f t="shared" si="3"/>
        <v>1.0939000000000032E-2</v>
      </c>
    </row>
    <row r="8" spans="1:18" x14ac:dyDescent="0.35">
      <c r="A8" s="11">
        <v>250</v>
      </c>
      <c r="B8" s="11">
        <v>1.5707979999999999</v>
      </c>
      <c r="C8" s="11">
        <v>247</v>
      </c>
      <c r="D8" s="11">
        <v>1.5695969999999999</v>
      </c>
      <c r="E8" s="11">
        <v>232</v>
      </c>
      <c r="F8" s="11">
        <v>1.5695619999999999</v>
      </c>
      <c r="G8" s="12">
        <f t="shared" si="1"/>
        <v>1.3091000000000186E-2</v>
      </c>
      <c r="H8" s="12">
        <f t="shared" si="0"/>
        <v>214</v>
      </c>
      <c r="I8" s="13"/>
      <c r="J8" s="12"/>
      <c r="K8" s="12"/>
      <c r="L8" s="11"/>
      <c r="M8" s="11">
        <v>1.5695969999999999</v>
      </c>
      <c r="N8" s="11">
        <f t="shared" si="2"/>
        <v>1.4292000000000193E-2</v>
      </c>
      <c r="O8" s="11">
        <v>1.5695619999999999</v>
      </c>
      <c r="P8" s="11">
        <f t="shared" si="3"/>
        <v>1.4327000000000201E-2</v>
      </c>
      <c r="Q8" s="14" t="s">
        <v>13</v>
      </c>
    </row>
    <row r="9" spans="1:18" x14ac:dyDescent="0.35">
      <c r="A9" s="11">
        <v>249</v>
      </c>
      <c r="B9" s="11">
        <v>1.5688279999999999</v>
      </c>
      <c r="C9" s="11">
        <v>246</v>
      </c>
      <c r="D9" s="11">
        <v>1.56626</v>
      </c>
      <c r="E9" s="11">
        <v>231</v>
      </c>
      <c r="F9" s="11">
        <v>1.568206</v>
      </c>
      <c r="G9" s="12">
        <f t="shared" si="1"/>
        <v>1.5061000000000213E-2</v>
      </c>
      <c r="H9" s="12">
        <f t="shared" si="0"/>
        <v>246</v>
      </c>
      <c r="I9" s="13"/>
      <c r="J9" s="12"/>
      <c r="K9" s="12"/>
      <c r="L9" s="11"/>
      <c r="M9" s="11">
        <v>1.56626</v>
      </c>
      <c r="N9" s="11">
        <f t="shared" si="2"/>
        <v>1.7629000000000117E-2</v>
      </c>
      <c r="O9" s="11">
        <v>1.568206</v>
      </c>
      <c r="P9" s="11">
        <f t="shared" si="3"/>
        <v>1.5683000000000114E-2</v>
      </c>
    </row>
    <row r="10" spans="1:18" x14ac:dyDescent="0.35">
      <c r="A10" s="11">
        <v>248</v>
      </c>
      <c r="B10" s="11">
        <v>1.565928</v>
      </c>
      <c r="C10" s="11">
        <v>245</v>
      </c>
      <c r="D10" s="11">
        <v>1.5641309999999999</v>
      </c>
      <c r="E10" s="11">
        <v>230</v>
      </c>
      <c r="F10" s="11">
        <v>1.5654950000000001</v>
      </c>
      <c r="G10" s="12">
        <f t="shared" si="1"/>
        <v>1.7961000000000116E-2</v>
      </c>
      <c r="H10" s="12">
        <f t="shared" si="0"/>
        <v>294</v>
      </c>
      <c r="I10" s="13"/>
      <c r="J10" s="12"/>
      <c r="K10" s="12"/>
      <c r="L10" s="11"/>
      <c r="M10" s="11">
        <v>1.5641309999999999</v>
      </c>
      <c r="N10" s="11">
        <f t="shared" si="2"/>
        <v>1.9758000000000164E-2</v>
      </c>
      <c r="O10" s="11">
        <v>1.5654950000000001</v>
      </c>
      <c r="P10" s="11">
        <f t="shared" si="3"/>
        <v>1.8394000000000021E-2</v>
      </c>
    </row>
    <row r="11" spans="1:18" x14ac:dyDescent="0.35">
      <c r="A11" s="11">
        <v>247</v>
      </c>
      <c r="B11" s="11">
        <v>1.562964</v>
      </c>
      <c r="C11" s="11">
        <v>244</v>
      </c>
      <c r="D11" s="11">
        <v>1.5609310000000001</v>
      </c>
      <c r="E11" s="11">
        <v>229</v>
      </c>
      <c r="F11" s="11">
        <v>1.5620080000000001</v>
      </c>
      <c r="G11" s="12">
        <f t="shared" si="1"/>
        <v>2.0925000000000082E-2</v>
      </c>
      <c r="H11" s="12">
        <f t="shared" si="0"/>
        <v>343</v>
      </c>
      <c r="I11" s="13"/>
      <c r="J11" s="12"/>
      <c r="K11" s="12"/>
      <c r="L11" s="11"/>
      <c r="M11" s="11">
        <v>1.5609310000000001</v>
      </c>
      <c r="N11" s="11">
        <f t="shared" si="2"/>
        <v>2.2958000000000034E-2</v>
      </c>
      <c r="O11" s="11">
        <v>1.5620080000000001</v>
      </c>
      <c r="P11" s="11">
        <f t="shared" si="3"/>
        <v>2.1881000000000039E-2</v>
      </c>
    </row>
    <row r="12" spans="1:18" x14ac:dyDescent="0.35">
      <c r="A12" s="11">
        <v>246</v>
      </c>
      <c r="B12" s="11">
        <v>1.559823</v>
      </c>
      <c r="C12" s="11">
        <v>243</v>
      </c>
      <c r="D12" s="11">
        <v>1.5591029999999999</v>
      </c>
      <c r="E12" s="11">
        <v>228</v>
      </c>
      <c r="F12" s="11">
        <v>1.559015</v>
      </c>
      <c r="G12" s="12">
        <f t="shared" si="1"/>
        <v>2.4066000000000143E-2</v>
      </c>
      <c r="H12" s="12">
        <f t="shared" si="0"/>
        <v>394</v>
      </c>
      <c r="I12" s="13"/>
      <c r="J12" s="12"/>
      <c r="K12" s="12"/>
      <c r="L12" s="11"/>
      <c r="M12" s="11">
        <v>1.5591029999999999</v>
      </c>
      <c r="N12" s="11">
        <f t="shared" si="2"/>
        <v>2.4786000000000197E-2</v>
      </c>
      <c r="O12" s="11">
        <v>1.559015</v>
      </c>
      <c r="P12" s="11">
        <f t="shared" si="3"/>
        <v>2.4874000000000063E-2</v>
      </c>
    </row>
    <row r="13" spans="1:18" x14ac:dyDescent="0.35">
      <c r="A13" s="11">
        <v>245</v>
      </c>
      <c r="B13" s="11">
        <v>1.55786</v>
      </c>
      <c r="C13" s="11">
        <v>242</v>
      </c>
      <c r="D13" s="11">
        <v>1.5559019999999999</v>
      </c>
      <c r="E13" s="11">
        <v>227</v>
      </c>
      <c r="F13" s="11">
        <v>1.556783</v>
      </c>
      <c r="G13" s="12">
        <f t="shared" si="1"/>
        <v>2.602900000000008E-2</v>
      </c>
      <c r="H13" s="12">
        <f t="shared" si="0"/>
        <v>426</v>
      </c>
      <c r="I13" s="13"/>
      <c r="J13" s="12"/>
      <c r="K13" s="12"/>
      <c r="L13" s="11"/>
      <c r="M13" s="11">
        <v>1.5559019999999999</v>
      </c>
      <c r="N13" s="11">
        <f t="shared" si="2"/>
        <v>2.7987000000000206E-2</v>
      </c>
      <c r="O13" s="11">
        <v>1.556783</v>
      </c>
      <c r="P13" s="11">
        <f t="shared" si="3"/>
        <v>2.7106000000000074E-2</v>
      </c>
      <c r="Q13" s="11" t="s">
        <v>17</v>
      </c>
    </row>
    <row r="14" spans="1:18" x14ac:dyDescent="0.35">
      <c r="A14">
        <v>244</v>
      </c>
      <c r="B14">
        <v>1.5549299999999999</v>
      </c>
      <c r="C14">
        <v>241</v>
      </c>
      <c r="D14">
        <v>1.5533980000000001</v>
      </c>
      <c r="E14">
        <v>226</v>
      </c>
      <c r="F14">
        <v>1.5537300000000001</v>
      </c>
      <c r="G14" s="17">
        <f t="shared" si="1"/>
        <v>2.8959000000000179E-2</v>
      </c>
      <c r="H14" s="17">
        <f t="shared" si="0"/>
        <v>474</v>
      </c>
      <c r="I14" s="18"/>
      <c r="J14" s="17"/>
      <c r="K14" s="17"/>
      <c r="L14" s="9"/>
      <c r="M14" s="9">
        <v>1.5533980000000001</v>
      </c>
      <c r="N14" s="9">
        <f t="shared" si="2"/>
        <v>3.0491000000000046E-2</v>
      </c>
      <c r="O14" s="9">
        <v>1.5537300000000001</v>
      </c>
      <c r="P14" s="9">
        <f t="shared" si="3"/>
        <v>3.0159000000000047E-2</v>
      </c>
    </row>
    <row r="15" spans="1:18" x14ac:dyDescent="0.35">
      <c r="A15">
        <v>243</v>
      </c>
      <c r="B15">
        <v>1.552678</v>
      </c>
      <c r="C15">
        <v>240</v>
      </c>
      <c r="D15">
        <v>1.550217</v>
      </c>
      <c r="E15">
        <v>225</v>
      </c>
      <c r="F15">
        <v>1.5505800000000001</v>
      </c>
      <c r="G15" s="17">
        <f t="shared" si="1"/>
        <v>3.12110000000001E-2</v>
      </c>
      <c r="H15" s="17">
        <f t="shared" si="0"/>
        <v>511</v>
      </c>
      <c r="I15" s="9"/>
      <c r="J15" s="17"/>
      <c r="K15" s="17"/>
      <c r="L15" s="9"/>
      <c r="M15" s="9">
        <v>1.550217</v>
      </c>
      <c r="N15" s="9">
        <f t="shared" si="2"/>
        <v>3.3672000000000146E-2</v>
      </c>
      <c r="O15" s="9">
        <v>1.5505800000000001</v>
      </c>
      <c r="P15" s="9">
        <f t="shared" si="3"/>
        <v>3.3309000000000033E-2</v>
      </c>
    </row>
    <row r="16" spans="1:18" x14ac:dyDescent="0.35">
      <c r="A16">
        <v>242</v>
      </c>
      <c r="B16">
        <v>1.549523</v>
      </c>
      <c r="C16">
        <v>239</v>
      </c>
      <c r="D16">
        <v>1.546764</v>
      </c>
      <c r="E16">
        <v>224</v>
      </c>
      <c r="F16">
        <v>1.5476890000000001</v>
      </c>
      <c r="G16" s="17">
        <f t="shared" si="1"/>
        <v>3.4366000000000119E-2</v>
      </c>
      <c r="H16" s="17">
        <f t="shared" si="0"/>
        <v>563</v>
      </c>
      <c r="I16" s="18">
        <v>40</v>
      </c>
      <c r="J16" s="17">
        <v>165470.32999999999</v>
      </c>
      <c r="K16" s="17">
        <v>165470.32999999999</v>
      </c>
      <c r="L16" s="9"/>
      <c r="M16" s="9">
        <v>1.546764</v>
      </c>
      <c r="N16" s="9">
        <f t="shared" si="2"/>
        <v>3.7125000000000075E-2</v>
      </c>
      <c r="O16" s="9">
        <v>1.5476890000000001</v>
      </c>
      <c r="P16" s="9">
        <f t="shared" si="3"/>
        <v>3.620000000000001E-2</v>
      </c>
    </row>
    <row r="17" spans="1:16" x14ac:dyDescent="0.35">
      <c r="A17">
        <v>241</v>
      </c>
      <c r="B17">
        <v>1.547798</v>
      </c>
      <c r="C17">
        <v>238</v>
      </c>
      <c r="D17">
        <v>1.5434859999999999</v>
      </c>
      <c r="E17">
        <v>223</v>
      </c>
      <c r="F17">
        <v>1.5470079999999999</v>
      </c>
      <c r="G17" s="17">
        <f t="shared" si="1"/>
        <v>3.6091000000000095E-2</v>
      </c>
      <c r="H17" s="17">
        <f t="shared" si="0"/>
        <v>591</v>
      </c>
      <c r="I17" s="18"/>
      <c r="J17" s="17"/>
      <c r="K17" s="17"/>
      <c r="L17" s="9"/>
      <c r="M17" s="9">
        <v>1.5434859999999999</v>
      </c>
      <c r="N17" s="9">
        <f t="shared" si="2"/>
        <v>4.0403000000000189E-2</v>
      </c>
      <c r="O17" s="9">
        <v>1.5470079999999999</v>
      </c>
      <c r="P17" s="9">
        <f t="shared" si="3"/>
        <v>3.6881000000000164E-2</v>
      </c>
    </row>
    <row r="18" spans="1:16" x14ac:dyDescent="0.35">
      <c r="A18">
        <v>240</v>
      </c>
      <c r="B18">
        <v>1.5445040000000001</v>
      </c>
      <c r="C18">
        <v>237</v>
      </c>
      <c r="D18">
        <v>1.5414129999999999</v>
      </c>
      <c r="E18">
        <v>222</v>
      </c>
      <c r="F18">
        <v>1.544014</v>
      </c>
      <c r="G18" s="17">
        <f t="shared" si="1"/>
        <v>3.9385000000000003E-2</v>
      </c>
      <c r="H18" s="17">
        <f t="shared" si="0"/>
        <v>645</v>
      </c>
      <c r="I18" s="18"/>
      <c r="J18" s="17"/>
      <c r="K18" s="17"/>
      <c r="L18" s="9"/>
      <c r="M18" s="9">
        <v>1.5414129999999999</v>
      </c>
      <c r="N18" s="9">
        <f t="shared" si="2"/>
        <v>4.247600000000018E-2</v>
      </c>
      <c r="O18" s="9">
        <v>1.544014</v>
      </c>
      <c r="P18" s="9">
        <f t="shared" si="3"/>
        <v>3.9875000000000105E-2</v>
      </c>
    </row>
    <row r="19" spans="1:16" x14ac:dyDescent="0.35">
      <c r="A19">
        <v>239</v>
      </c>
      <c r="B19">
        <v>1.541463</v>
      </c>
      <c r="C19">
        <v>236</v>
      </c>
      <c r="D19">
        <v>1.5380130000000001</v>
      </c>
      <c r="E19">
        <v>221</v>
      </c>
      <c r="F19">
        <v>1.5406839999999999</v>
      </c>
      <c r="G19" s="17">
        <f t="shared" si="1"/>
        <v>4.2426000000000075E-2</v>
      </c>
      <c r="H19" s="17">
        <f t="shared" si="0"/>
        <v>695</v>
      </c>
      <c r="I19" s="18"/>
      <c r="J19" s="17"/>
      <c r="K19" s="17"/>
      <c r="L19" s="9"/>
      <c r="M19" s="9">
        <v>1.5380130000000001</v>
      </c>
      <c r="N19" s="9">
        <f t="shared" si="2"/>
        <v>4.5876000000000028E-2</v>
      </c>
      <c r="O19" s="9">
        <v>1.5406839999999999</v>
      </c>
      <c r="P19" s="9">
        <f t="shared" si="3"/>
        <v>4.320500000000016E-2</v>
      </c>
    </row>
    <row r="20" spans="1:16" x14ac:dyDescent="0.35">
      <c r="A20">
        <v>238</v>
      </c>
      <c r="B20">
        <v>1.538357</v>
      </c>
      <c r="C20">
        <v>235</v>
      </c>
      <c r="D20">
        <v>1.535928</v>
      </c>
      <c r="E20">
        <v>220</v>
      </c>
      <c r="F20">
        <v>1.5377270000000001</v>
      </c>
      <c r="G20" s="17">
        <f t="shared" si="1"/>
        <v>4.5532000000000128E-2</v>
      </c>
      <c r="H20" s="17">
        <f t="shared" si="0"/>
        <v>746</v>
      </c>
      <c r="I20" s="18">
        <v>39.5</v>
      </c>
      <c r="J20" s="17">
        <v>240852.68</v>
      </c>
      <c r="K20" s="17">
        <v>240852.68000000002</v>
      </c>
      <c r="L20" s="9"/>
      <c r="M20" s="9">
        <v>1.535928</v>
      </c>
      <c r="N20" s="9">
        <f t="shared" si="2"/>
        <v>4.7961000000000142E-2</v>
      </c>
      <c r="O20" s="9">
        <v>1.5377270000000001</v>
      </c>
      <c r="P20" s="9">
        <f t="shared" si="3"/>
        <v>4.6162000000000036E-2</v>
      </c>
    </row>
    <row r="21" spans="1:16" x14ac:dyDescent="0.35">
      <c r="A21">
        <v>237</v>
      </c>
      <c r="B21">
        <v>1.536351</v>
      </c>
      <c r="C21">
        <v>234</v>
      </c>
      <c r="D21">
        <v>1.5326709999999999</v>
      </c>
      <c r="E21">
        <v>219</v>
      </c>
      <c r="F21">
        <v>1.5355099999999999</v>
      </c>
      <c r="G21" s="17">
        <f t="shared" si="1"/>
        <v>4.753800000000008E-2</v>
      </c>
      <c r="H21" s="17">
        <f t="shared" si="0"/>
        <v>779</v>
      </c>
      <c r="I21" s="18"/>
      <c r="J21" s="17"/>
      <c r="K21" s="17"/>
      <c r="L21" s="9"/>
      <c r="M21" s="9">
        <v>1.5326709999999999</v>
      </c>
      <c r="N21" s="9">
        <f t="shared" si="2"/>
        <v>5.1218000000000208E-2</v>
      </c>
      <c r="O21" s="9">
        <v>1.5355099999999999</v>
      </c>
      <c r="P21" s="9">
        <f t="shared" si="3"/>
        <v>4.8379000000000172E-2</v>
      </c>
    </row>
    <row r="22" spans="1:16" x14ac:dyDescent="0.35">
      <c r="A22">
        <v>236</v>
      </c>
      <c r="B22">
        <v>1.5335920000000001</v>
      </c>
      <c r="C22">
        <v>233</v>
      </c>
      <c r="D22">
        <v>1.530327</v>
      </c>
      <c r="E22">
        <v>218</v>
      </c>
      <c r="F22">
        <v>1.5322709999999999</v>
      </c>
      <c r="G22" s="17">
        <f t="shared" si="1"/>
        <v>5.0297000000000036E-2</v>
      </c>
      <c r="H22" s="17">
        <f t="shared" si="0"/>
        <v>824</v>
      </c>
      <c r="I22" s="18"/>
      <c r="J22" s="17"/>
      <c r="K22" s="17"/>
      <c r="L22" s="9"/>
      <c r="M22" s="9">
        <v>1.530327</v>
      </c>
      <c r="N22" s="9">
        <f t="shared" si="2"/>
        <v>5.356200000000011E-2</v>
      </c>
      <c r="O22" s="9">
        <v>1.5322709999999999</v>
      </c>
      <c r="P22" s="9">
        <f t="shared" si="3"/>
        <v>5.1618000000000164E-2</v>
      </c>
    </row>
    <row r="23" spans="1:16" x14ac:dyDescent="0.35">
      <c r="A23">
        <v>235</v>
      </c>
      <c r="B23">
        <v>1.531372</v>
      </c>
      <c r="C23">
        <v>232</v>
      </c>
      <c r="D23">
        <v>1.527007</v>
      </c>
      <c r="E23">
        <v>217</v>
      </c>
      <c r="F23">
        <v>1.5291300000000001</v>
      </c>
      <c r="G23" s="17">
        <f t="shared" si="1"/>
        <v>5.2517000000000147E-2</v>
      </c>
      <c r="H23" s="17">
        <f t="shared" si="0"/>
        <v>860</v>
      </c>
      <c r="I23" s="18"/>
      <c r="J23" s="17"/>
      <c r="K23" s="17"/>
      <c r="L23" s="9"/>
      <c r="M23" s="9">
        <v>1.527007</v>
      </c>
      <c r="N23" s="9">
        <f t="shared" si="2"/>
        <v>5.6882000000000099E-2</v>
      </c>
      <c r="O23" s="9">
        <v>1.5291300000000001</v>
      </c>
      <c r="P23" s="9">
        <f t="shared" si="3"/>
        <v>5.4759000000000002E-2</v>
      </c>
    </row>
    <row r="24" spans="1:16" x14ac:dyDescent="0.35">
      <c r="A24">
        <v>234</v>
      </c>
      <c r="B24">
        <v>1.5286230000000001</v>
      </c>
      <c r="C24">
        <v>231</v>
      </c>
      <c r="D24">
        <v>1.525757</v>
      </c>
      <c r="E24">
        <v>216</v>
      </c>
      <c r="F24">
        <v>1.5259739999999999</v>
      </c>
      <c r="G24" s="17">
        <f t="shared" si="1"/>
        <v>5.5266000000000037E-2</v>
      </c>
      <c r="H24" s="17">
        <f t="shared" si="0"/>
        <v>906</v>
      </c>
      <c r="I24" s="18"/>
      <c r="J24" s="17"/>
      <c r="K24" s="17"/>
      <c r="L24" s="9"/>
      <c r="M24" s="9">
        <v>1.525757</v>
      </c>
      <c r="N24" s="9">
        <f t="shared" si="2"/>
        <v>5.8132000000000073E-2</v>
      </c>
      <c r="O24" s="9">
        <v>1.5259739999999999</v>
      </c>
      <c r="P24" s="9">
        <f t="shared" si="3"/>
        <v>5.7915000000000161E-2</v>
      </c>
    </row>
    <row r="25" spans="1:16" x14ac:dyDescent="0.35">
      <c r="A25">
        <v>233</v>
      </c>
      <c r="B25">
        <v>1.5265070000000001</v>
      </c>
      <c r="C25">
        <v>230</v>
      </c>
      <c r="D25">
        <v>1.5226649999999999</v>
      </c>
      <c r="E25">
        <v>215</v>
      </c>
      <c r="F25">
        <v>1.5247010000000001</v>
      </c>
      <c r="G25" s="17">
        <f t="shared" si="1"/>
        <v>5.7382000000000044E-2</v>
      </c>
      <c r="H25" s="17">
        <f t="shared" si="0"/>
        <v>940</v>
      </c>
      <c r="I25" s="18"/>
      <c r="J25" s="17"/>
      <c r="K25" s="17"/>
      <c r="L25" s="9"/>
      <c r="M25" s="9">
        <v>1.5226649999999999</v>
      </c>
      <c r="N25" s="9">
        <f t="shared" si="2"/>
        <v>6.1224000000000167E-2</v>
      </c>
      <c r="O25" s="9">
        <v>1.5247010000000001</v>
      </c>
      <c r="P25" s="9">
        <f t="shared" si="3"/>
        <v>5.9188000000000018E-2</v>
      </c>
    </row>
    <row r="26" spans="1:16" x14ac:dyDescent="0.35">
      <c r="A26">
        <v>232</v>
      </c>
      <c r="B26">
        <v>1.5236179999999999</v>
      </c>
      <c r="C26">
        <v>229</v>
      </c>
      <c r="D26">
        <v>1.520205</v>
      </c>
      <c r="E26">
        <v>214</v>
      </c>
      <c r="F26">
        <v>1.5217529999999999</v>
      </c>
      <c r="G26" s="17">
        <f t="shared" si="1"/>
        <v>6.0271000000000186E-2</v>
      </c>
      <c r="H26" s="17">
        <f t="shared" si="0"/>
        <v>988</v>
      </c>
      <c r="I26" s="19"/>
      <c r="J26" s="17"/>
      <c r="K26" s="17"/>
      <c r="L26" s="9"/>
      <c r="M26" s="9">
        <v>1.520205</v>
      </c>
      <c r="N26" s="9">
        <f t="shared" si="2"/>
        <v>6.3684000000000074E-2</v>
      </c>
      <c r="O26" s="9">
        <v>1.5217529999999999</v>
      </c>
      <c r="P26" s="9">
        <f t="shared" si="3"/>
        <v>6.2136000000000191E-2</v>
      </c>
    </row>
    <row r="27" spans="1:16" x14ac:dyDescent="0.35">
      <c r="A27">
        <v>231</v>
      </c>
      <c r="B27">
        <v>1.520697</v>
      </c>
      <c r="C27">
        <v>228</v>
      </c>
      <c r="D27">
        <v>1.516972</v>
      </c>
      <c r="E27">
        <v>213</v>
      </c>
      <c r="F27">
        <v>1.518656</v>
      </c>
      <c r="G27" s="17">
        <f t="shared" si="1"/>
        <v>6.3192000000000137E-2</v>
      </c>
      <c r="H27" s="17">
        <f t="shared" si="0"/>
        <v>1035</v>
      </c>
      <c r="I27" s="17">
        <v>39</v>
      </c>
      <c r="J27" s="17">
        <v>336842.21</v>
      </c>
      <c r="K27" s="17">
        <v>336842.21</v>
      </c>
      <c r="L27" s="9"/>
      <c r="M27" s="9">
        <v>1.516972</v>
      </c>
      <c r="N27" s="9">
        <f t="shared" si="2"/>
        <v>6.6917000000000115E-2</v>
      </c>
      <c r="O27" s="9">
        <v>1.518656</v>
      </c>
      <c r="P27" s="9">
        <f t="shared" si="3"/>
        <v>6.5233000000000096E-2</v>
      </c>
    </row>
    <row r="28" spans="1:16" x14ac:dyDescent="0.35">
      <c r="A28">
        <v>230</v>
      </c>
      <c r="B28">
        <v>1.517245</v>
      </c>
      <c r="C28">
        <v>227</v>
      </c>
      <c r="D28">
        <v>1.5151349999999999</v>
      </c>
      <c r="E28">
        <v>212</v>
      </c>
      <c r="F28">
        <v>1.51586</v>
      </c>
      <c r="G28" s="17">
        <f t="shared" si="1"/>
        <v>6.6644000000000148E-2</v>
      </c>
      <c r="H28" s="17">
        <f t="shared" si="0"/>
        <v>1092</v>
      </c>
      <c r="I28" s="17"/>
      <c r="J28" s="17"/>
      <c r="K28" s="17">
        <v>351807.33428571402</v>
      </c>
      <c r="L28" s="9"/>
      <c r="M28" s="9">
        <v>1.5151349999999999</v>
      </c>
      <c r="N28" s="9">
        <f t="shared" si="2"/>
        <v>6.8754000000000204E-2</v>
      </c>
      <c r="O28" s="9">
        <v>1.51586</v>
      </c>
      <c r="P28" s="9">
        <f t="shared" si="3"/>
        <v>6.8029000000000117E-2</v>
      </c>
    </row>
    <row r="29" spans="1:16" x14ac:dyDescent="0.35">
      <c r="A29">
        <v>229</v>
      </c>
      <c r="B29">
        <v>1.5153840000000001</v>
      </c>
      <c r="C29">
        <v>226</v>
      </c>
      <c r="D29">
        <v>1.511835</v>
      </c>
      <c r="E29">
        <v>211</v>
      </c>
      <c r="F29">
        <v>1.513587</v>
      </c>
      <c r="G29" s="17">
        <f t="shared" si="1"/>
        <v>6.8505000000000038E-2</v>
      </c>
      <c r="H29" s="17">
        <f t="shared" si="0"/>
        <v>1123</v>
      </c>
      <c r="I29" s="17"/>
      <c r="J29" s="17"/>
      <c r="K29" s="17">
        <v>366772.45857142803</v>
      </c>
      <c r="L29" s="9"/>
      <c r="M29" s="9">
        <v>1.511835</v>
      </c>
      <c r="N29" s="9">
        <f t="shared" si="2"/>
        <v>7.2054000000000062E-2</v>
      </c>
      <c r="O29" s="9">
        <v>1.513587</v>
      </c>
      <c r="P29" s="9">
        <f t="shared" si="3"/>
        <v>7.0302000000000087E-2</v>
      </c>
    </row>
    <row r="30" spans="1:16" x14ac:dyDescent="0.35">
      <c r="A30">
        <v>228</v>
      </c>
      <c r="B30">
        <v>1.5123009999999999</v>
      </c>
      <c r="C30">
        <v>225</v>
      </c>
      <c r="D30">
        <v>1.509457</v>
      </c>
      <c r="E30">
        <v>210</v>
      </c>
      <c r="F30">
        <v>1.510451</v>
      </c>
      <c r="G30" s="17">
        <f t="shared" si="1"/>
        <v>7.1588000000000207E-2</v>
      </c>
      <c r="H30" s="17">
        <f t="shared" si="0"/>
        <v>1173</v>
      </c>
      <c r="I30" s="17"/>
      <c r="J30" s="17"/>
      <c r="K30" s="17">
        <v>381737.58285714203</v>
      </c>
      <c r="L30" s="9"/>
      <c r="M30" s="9">
        <v>1.509457</v>
      </c>
      <c r="N30" s="9">
        <f t="shared" si="2"/>
        <v>7.4432000000000054E-2</v>
      </c>
      <c r="O30" s="9">
        <v>1.510451</v>
      </c>
      <c r="P30" s="9">
        <f t="shared" si="3"/>
        <v>7.3438000000000114E-2</v>
      </c>
    </row>
    <row r="31" spans="1:16" x14ac:dyDescent="0.35">
      <c r="A31">
        <v>227</v>
      </c>
      <c r="B31">
        <v>1.509919</v>
      </c>
      <c r="C31">
        <v>224</v>
      </c>
      <c r="D31">
        <v>1.5060880000000001</v>
      </c>
      <c r="E31">
        <v>209</v>
      </c>
      <c r="F31">
        <v>1.5071270000000001</v>
      </c>
      <c r="G31" s="17">
        <f t="shared" si="1"/>
        <v>7.3970000000000091E-2</v>
      </c>
      <c r="H31" s="17">
        <f t="shared" si="0"/>
        <v>1212</v>
      </c>
      <c r="I31" s="17"/>
      <c r="J31" s="17"/>
      <c r="K31" s="17">
        <v>396702.70714285702</v>
      </c>
      <c r="L31" s="9"/>
      <c r="M31" s="9">
        <v>1.5060880000000001</v>
      </c>
      <c r="N31" s="9">
        <f t="shared" si="2"/>
        <v>7.7801000000000009E-2</v>
      </c>
      <c r="O31" s="9">
        <v>1.5071270000000001</v>
      </c>
      <c r="P31" s="9">
        <f t="shared" si="3"/>
        <v>7.6761999999999997E-2</v>
      </c>
    </row>
    <row r="32" spans="1:16" x14ac:dyDescent="0.35">
      <c r="A32">
        <v>226</v>
      </c>
      <c r="B32">
        <v>1.506958</v>
      </c>
      <c r="C32">
        <v>223</v>
      </c>
      <c r="D32">
        <v>1.504991</v>
      </c>
      <c r="E32">
        <v>208</v>
      </c>
      <c r="F32">
        <v>1.5042610000000001</v>
      </c>
      <c r="G32" s="17">
        <f t="shared" si="1"/>
        <v>7.6931000000000083E-2</v>
      </c>
      <c r="H32" s="17">
        <f t="shared" si="0"/>
        <v>1261</v>
      </c>
      <c r="I32" s="17"/>
      <c r="J32" s="17"/>
      <c r="K32" s="17">
        <v>411667.83142857102</v>
      </c>
      <c r="L32" s="9"/>
      <c r="M32" s="9">
        <v>1.504991</v>
      </c>
      <c r="N32" s="9">
        <f t="shared" si="2"/>
        <v>7.8898000000000135E-2</v>
      </c>
      <c r="O32" s="9">
        <v>1.5042610000000001</v>
      </c>
      <c r="P32" s="9">
        <f t="shared" si="3"/>
        <v>7.9628000000000032E-2</v>
      </c>
    </row>
    <row r="33" spans="1:16" x14ac:dyDescent="0.35">
      <c r="A33">
        <v>225</v>
      </c>
      <c r="B33">
        <v>1.5053479999999999</v>
      </c>
      <c r="C33">
        <v>222</v>
      </c>
      <c r="D33">
        <v>1.5017130000000001</v>
      </c>
      <c r="E33">
        <v>207</v>
      </c>
      <c r="F33">
        <v>1.5004029999999999</v>
      </c>
      <c r="G33" s="17">
        <f t="shared" si="1"/>
        <v>7.8541000000000194E-2</v>
      </c>
      <c r="H33" s="17">
        <f t="shared" si="0"/>
        <v>1287</v>
      </c>
      <c r="I33" s="17"/>
      <c r="J33" s="17"/>
      <c r="K33" s="17">
        <v>426632.95571428502</v>
      </c>
      <c r="L33" s="9"/>
      <c r="M33" s="9">
        <v>1.5017130000000001</v>
      </c>
      <c r="N33" s="9">
        <f t="shared" si="2"/>
        <v>8.2176000000000027E-2</v>
      </c>
      <c r="O33" s="9">
        <v>1.5004029999999999</v>
      </c>
      <c r="P33" s="9">
        <f t="shared" si="3"/>
        <v>8.3486000000000171E-2</v>
      </c>
    </row>
    <row r="34" spans="1:16" x14ac:dyDescent="0.35">
      <c r="A34">
        <v>224</v>
      </c>
      <c r="B34">
        <v>1.5023979999999999</v>
      </c>
      <c r="C34">
        <v>221</v>
      </c>
      <c r="D34">
        <v>1.499395</v>
      </c>
      <c r="E34">
        <v>206</v>
      </c>
      <c r="F34">
        <v>1.497547</v>
      </c>
      <c r="G34" s="17">
        <f t="shared" si="1"/>
        <v>8.1491000000000202E-2</v>
      </c>
      <c r="H34" s="17">
        <f t="shared" si="0"/>
        <v>1335</v>
      </c>
      <c r="I34" s="17">
        <v>38.5</v>
      </c>
      <c r="J34" s="17">
        <v>441598.08</v>
      </c>
      <c r="K34" s="17">
        <v>441598.08</v>
      </c>
      <c r="L34" s="9"/>
      <c r="M34" s="9">
        <v>1.499395</v>
      </c>
      <c r="N34" s="9">
        <f t="shared" si="2"/>
        <v>8.4494000000000069E-2</v>
      </c>
      <c r="O34" s="9">
        <v>1.497547</v>
      </c>
      <c r="P34" s="9">
        <f t="shared" si="3"/>
        <v>8.6342000000000141E-2</v>
      </c>
    </row>
    <row r="35" spans="1:16" x14ac:dyDescent="0.35">
      <c r="A35">
        <v>223</v>
      </c>
      <c r="B35">
        <v>1.496858</v>
      </c>
      <c r="C35">
        <v>220</v>
      </c>
      <c r="D35">
        <v>1.4960500000000001</v>
      </c>
      <c r="E35">
        <v>205</v>
      </c>
      <c r="F35">
        <v>1.4941489999999999</v>
      </c>
      <c r="G35" s="17">
        <f t="shared" si="1"/>
        <v>8.7031000000000081E-2</v>
      </c>
      <c r="H35" s="17">
        <f t="shared" si="0"/>
        <v>1426</v>
      </c>
      <c r="I35" s="17"/>
      <c r="J35" s="17"/>
      <c r="K35" s="17">
        <v>456049.47875000001</v>
      </c>
      <c r="L35" s="9"/>
      <c r="M35" s="9">
        <v>1.4960500000000001</v>
      </c>
      <c r="N35" s="9">
        <f t="shared" si="2"/>
        <v>8.7839E-2</v>
      </c>
      <c r="O35" s="9">
        <v>1.4941489999999999</v>
      </c>
      <c r="P35" s="9">
        <f t="shared" si="3"/>
        <v>8.9740000000000153E-2</v>
      </c>
    </row>
    <row r="36" spans="1:16" x14ac:dyDescent="0.35">
      <c r="A36">
        <v>222</v>
      </c>
      <c r="B36">
        <v>1.4938800000000001</v>
      </c>
      <c r="C36">
        <v>219</v>
      </c>
      <c r="D36">
        <v>1.4941150000000001</v>
      </c>
      <c r="E36">
        <v>204</v>
      </c>
      <c r="F36">
        <v>1.491244</v>
      </c>
      <c r="G36" s="17">
        <f t="shared" si="1"/>
        <v>9.0009000000000006E-2</v>
      </c>
      <c r="H36" s="17">
        <f t="shared" si="0"/>
        <v>1475</v>
      </c>
      <c r="I36" s="17"/>
      <c r="J36" s="17"/>
      <c r="K36" s="17">
        <v>470500.8775</v>
      </c>
      <c r="L36" s="9"/>
      <c r="M36" s="9">
        <v>1.4941150000000001</v>
      </c>
      <c r="N36" s="9">
        <f t="shared" si="2"/>
        <v>8.977400000000002E-2</v>
      </c>
      <c r="O36" s="9">
        <v>1.491244</v>
      </c>
      <c r="P36" s="9">
        <f t="shared" si="3"/>
        <v>9.2645000000000088E-2</v>
      </c>
    </row>
    <row r="37" spans="1:16" x14ac:dyDescent="0.35">
      <c r="A37">
        <v>221</v>
      </c>
      <c r="B37">
        <v>1.4918990000000001</v>
      </c>
      <c r="C37">
        <v>218</v>
      </c>
      <c r="D37">
        <v>1.4907729999999999</v>
      </c>
      <c r="E37">
        <v>203</v>
      </c>
      <c r="F37">
        <v>1.4886760000000001</v>
      </c>
      <c r="G37" s="17">
        <f t="shared" si="1"/>
        <v>9.1990000000000016E-2</v>
      </c>
      <c r="H37" s="17">
        <f t="shared" si="0"/>
        <v>1508</v>
      </c>
      <c r="I37" s="17"/>
      <c r="J37" s="17"/>
      <c r="K37" s="17">
        <v>484952.27625</v>
      </c>
      <c r="L37" s="9"/>
      <c r="M37" s="9">
        <v>1.4907729999999999</v>
      </c>
      <c r="N37" s="9">
        <f t="shared" si="2"/>
        <v>9.3116000000000199E-2</v>
      </c>
      <c r="O37" s="9">
        <v>1.4886760000000001</v>
      </c>
      <c r="P37" s="9">
        <f t="shared" si="3"/>
        <v>9.5212999999999992E-2</v>
      </c>
    </row>
    <row r="38" spans="1:16" x14ac:dyDescent="0.35">
      <c r="A38">
        <v>220</v>
      </c>
      <c r="B38">
        <v>1.48889</v>
      </c>
      <c r="C38">
        <v>217</v>
      </c>
      <c r="D38">
        <v>1.4882249999999999</v>
      </c>
      <c r="E38">
        <v>202</v>
      </c>
      <c r="F38">
        <v>1.4857050000000001</v>
      </c>
      <c r="G38" s="17">
        <f t="shared" si="1"/>
        <v>9.4999000000000056E-2</v>
      </c>
      <c r="H38" s="17">
        <f t="shared" si="0"/>
        <v>1557</v>
      </c>
      <c r="I38" s="17"/>
      <c r="J38" s="17"/>
      <c r="K38" s="17">
        <v>499403.67499999999</v>
      </c>
      <c r="L38" s="9"/>
      <c r="M38" s="9">
        <v>1.4882249999999999</v>
      </c>
      <c r="N38" s="9">
        <f t="shared" si="2"/>
        <v>9.5664000000000193E-2</v>
      </c>
      <c r="O38" s="9">
        <v>1.4857050000000001</v>
      </c>
      <c r="P38" s="9">
        <f t="shared" si="3"/>
        <v>9.8184000000000049E-2</v>
      </c>
    </row>
    <row r="39" spans="1:16" x14ac:dyDescent="0.35">
      <c r="A39">
        <v>219</v>
      </c>
      <c r="B39">
        <v>1.4864930000000001</v>
      </c>
      <c r="C39">
        <v>216</v>
      </c>
      <c r="D39">
        <v>1.484912</v>
      </c>
      <c r="E39">
        <v>201</v>
      </c>
      <c r="F39">
        <v>1.482259</v>
      </c>
      <c r="G39" s="17">
        <f t="shared" si="1"/>
        <v>9.7396000000000038E-2</v>
      </c>
      <c r="H39" s="17">
        <f t="shared" si="0"/>
        <v>1596</v>
      </c>
      <c r="I39" s="17"/>
      <c r="J39" s="17"/>
      <c r="K39" s="17">
        <v>513855.07374999998</v>
      </c>
      <c r="L39" s="9"/>
      <c r="M39" s="9">
        <v>1.484912</v>
      </c>
      <c r="N39" s="9">
        <f t="shared" si="2"/>
        <v>9.8977000000000093E-2</v>
      </c>
      <c r="O39" s="9">
        <v>1.482259</v>
      </c>
      <c r="P39" s="9">
        <f t="shared" si="3"/>
        <v>0.10163000000000011</v>
      </c>
    </row>
    <row r="40" spans="1:16" x14ac:dyDescent="0.35">
      <c r="A40">
        <v>218</v>
      </c>
      <c r="B40">
        <v>1.483481</v>
      </c>
      <c r="C40">
        <v>215</v>
      </c>
      <c r="D40">
        <v>1.483727</v>
      </c>
      <c r="E40">
        <v>200</v>
      </c>
      <c r="F40">
        <v>1.479471</v>
      </c>
      <c r="G40" s="17">
        <f t="shared" si="1"/>
        <v>0.10040800000000005</v>
      </c>
      <c r="H40" s="17">
        <f t="shared" si="0"/>
        <v>1646</v>
      </c>
      <c r="I40" s="17"/>
      <c r="J40" s="17"/>
      <c r="K40" s="17">
        <v>528306.47250000003</v>
      </c>
      <c r="L40" s="9"/>
      <c r="M40" s="9">
        <v>1.483727</v>
      </c>
      <c r="N40" s="9">
        <f t="shared" si="2"/>
        <v>0.10016200000000008</v>
      </c>
      <c r="O40" s="9">
        <v>1.479471</v>
      </c>
      <c r="P40" s="9">
        <f t="shared" si="3"/>
        <v>0.10441800000000012</v>
      </c>
    </row>
    <row r="41" spans="1:16" x14ac:dyDescent="0.35">
      <c r="A41">
        <v>217</v>
      </c>
      <c r="B41">
        <v>1.481598</v>
      </c>
      <c r="C41">
        <v>214</v>
      </c>
      <c r="D41">
        <v>1.4804710000000001</v>
      </c>
      <c r="E41">
        <v>199</v>
      </c>
      <c r="F41">
        <v>1.4782770000000001</v>
      </c>
      <c r="G41" s="17">
        <f t="shared" si="1"/>
        <v>0.10229100000000013</v>
      </c>
      <c r="H41" s="17">
        <f t="shared" si="0"/>
        <v>1676</v>
      </c>
      <c r="I41" s="17"/>
      <c r="J41" s="17"/>
      <c r="K41" s="17">
        <v>542757.87124999997</v>
      </c>
      <c r="L41" s="9"/>
      <c r="M41" s="9">
        <v>1.4804710000000001</v>
      </c>
      <c r="N41" s="9">
        <f t="shared" si="2"/>
        <v>0.10341800000000001</v>
      </c>
      <c r="O41" s="9">
        <v>1.4782770000000001</v>
      </c>
      <c r="P41" s="9">
        <f t="shared" si="3"/>
        <v>0.10561200000000004</v>
      </c>
    </row>
    <row r="42" spans="1:16" x14ac:dyDescent="0.35">
      <c r="A42">
        <v>216</v>
      </c>
      <c r="B42">
        <v>1.478612</v>
      </c>
      <c r="C42">
        <v>213</v>
      </c>
      <c r="D42">
        <v>1.4780279999999999</v>
      </c>
      <c r="E42">
        <v>198</v>
      </c>
      <c r="F42">
        <v>1.4755180000000001</v>
      </c>
      <c r="G42" s="17">
        <f t="shared" si="1"/>
        <v>0.10527700000000006</v>
      </c>
      <c r="H42" s="17">
        <f t="shared" si="0"/>
        <v>1725</v>
      </c>
      <c r="I42" s="17">
        <v>38</v>
      </c>
      <c r="J42" s="17">
        <v>557209.27</v>
      </c>
      <c r="K42" s="17">
        <v>557209.27</v>
      </c>
      <c r="L42" s="9"/>
      <c r="M42" s="9">
        <v>1.4780279999999999</v>
      </c>
      <c r="N42" s="9">
        <f t="shared" si="2"/>
        <v>0.1058610000000002</v>
      </c>
      <c r="O42" s="9">
        <v>1.4755180000000001</v>
      </c>
      <c r="P42" s="9">
        <f t="shared" si="3"/>
        <v>0.108371</v>
      </c>
    </row>
    <row r="43" spans="1:16" x14ac:dyDescent="0.35">
      <c r="A43">
        <v>215</v>
      </c>
      <c r="B43">
        <v>1.4758629999999999</v>
      </c>
      <c r="C43">
        <v>212</v>
      </c>
      <c r="D43">
        <v>1.4747079999999999</v>
      </c>
      <c r="E43">
        <v>197</v>
      </c>
      <c r="F43">
        <v>1.471889</v>
      </c>
      <c r="G43" s="17">
        <f t="shared" si="1"/>
        <v>0.10802600000000018</v>
      </c>
      <c r="H43" s="17">
        <f t="shared" si="0"/>
        <v>1770</v>
      </c>
      <c r="I43" s="17"/>
      <c r="J43" s="17"/>
      <c r="K43" s="17">
        <v>572059.18625000003</v>
      </c>
      <c r="L43" s="9"/>
      <c r="M43" s="9">
        <v>1.4747079999999999</v>
      </c>
      <c r="N43" s="9">
        <f t="shared" si="2"/>
        <v>0.10918100000000019</v>
      </c>
      <c r="O43" s="9">
        <v>1.471889</v>
      </c>
      <c r="P43" s="9">
        <f t="shared" si="3"/>
        <v>0.1120000000000001</v>
      </c>
    </row>
    <row r="44" spans="1:16" x14ac:dyDescent="0.35">
      <c r="A44">
        <v>214</v>
      </c>
      <c r="B44">
        <v>1.4724969999999999</v>
      </c>
      <c r="C44">
        <v>211</v>
      </c>
      <c r="D44">
        <v>1.4727680000000001</v>
      </c>
      <c r="E44">
        <v>196</v>
      </c>
      <c r="F44">
        <v>1.469015</v>
      </c>
      <c r="G44" s="17">
        <f t="shared" si="1"/>
        <v>0.11139200000000016</v>
      </c>
      <c r="H44" s="17">
        <f t="shared" si="0"/>
        <v>1826</v>
      </c>
      <c r="I44" s="17"/>
      <c r="J44" s="17"/>
      <c r="K44" s="17">
        <v>586909.10250000004</v>
      </c>
      <c r="L44" s="9"/>
      <c r="M44" s="9">
        <v>1.4727680000000001</v>
      </c>
      <c r="N44" s="9">
        <f t="shared" si="2"/>
        <v>0.11112100000000003</v>
      </c>
      <c r="O44" s="9">
        <v>1.469015</v>
      </c>
      <c r="P44" s="9">
        <f t="shared" si="3"/>
        <v>0.11487400000000014</v>
      </c>
    </row>
    <row r="45" spans="1:16" x14ac:dyDescent="0.35">
      <c r="A45">
        <v>213</v>
      </c>
      <c r="B45">
        <v>1.4706030000000001</v>
      </c>
      <c r="C45">
        <v>210</v>
      </c>
      <c r="D45">
        <v>1.4696480000000001</v>
      </c>
      <c r="E45">
        <v>195</v>
      </c>
      <c r="F45">
        <v>1.4665140000000001</v>
      </c>
      <c r="G45" s="17">
        <f t="shared" si="1"/>
        <v>0.113286</v>
      </c>
      <c r="H45" s="17">
        <f t="shared" si="0"/>
        <v>1857</v>
      </c>
      <c r="I45" s="17"/>
      <c r="J45" s="17"/>
      <c r="K45" s="17">
        <v>601759.01875000005</v>
      </c>
      <c r="L45" s="9"/>
      <c r="M45" s="9">
        <v>1.4696480000000001</v>
      </c>
      <c r="N45" s="9">
        <f t="shared" si="2"/>
        <v>0.11424100000000004</v>
      </c>
      <c r="O45" s="9">
        <v>1.4665140000000001</v>
      </c>
      <c r="P45" s="9">
        <f t="shared" si="3"/>
        <v>0.11737500000000001</v>
      </c>
    </row>
    <row r="46" spans="1:16" x14ac:dyDescent="0.35">
      <c r="A46">
        <v>212</v>
      </c>
      <c r="B46">
        <v>1.467373</v>
      </c>
      <c r="C46">
        <v>209</v>
      </c>
      <c r="D46">
        <v>1.4672810000000001</v>
      </c>
      <c r="E46">
        <v>194</v>
      </c>
      <c r="F46">
        <v>1.4637290000000001</v>
      </c>
      <c r="G46" s="17">
        <f t="shared" si="1"/>
        <v>0.11651600000000006</v>
      </c>
      <c r="H46" s="17">
        <f t="shared" si="0"/>
        <v>1910</v>
      </c>
      <c r="I46" s="17"/>
      <c r="J46" s="17"/>
      <c r="K46" s="17">
        <v>616608.93500000006</v>
      </c>
      <c r="L46" s="9"/>
      <c r="M46" s="9">
        <v>1.4672810000000001</v>
      </c>
      <c r="N46" s="9">
        <f t="shared" si="2"/>
        <v>0.11660800000000004</v>
      </c>
      <c r="O46" s="9">
        <v>1.4637290000000001</v>
      </c>
      <c r="P46" s="9">
        <f t="shared" si="3"/>
        <v>0.12016000000000004</v>
      </c>
    </row>
    <row r="47" spans="1:16" x14ac:dyDescent="0.35">
      <c r="A47">
        <v>211</v>
      </c>
      <c r="B47">
        <v>1.465158</v>
      </c>
      <c r="C47">
        <v>208</v>
      </c>
      <c r="D47">
        <v>1.4638640000000001</v>
      </c>
      <c r="E47">
        <v>193</v>
      </c>
      <c r="F47">
        <v>1.4602329999999999</v>
      </c>
      <c r="G47" s="17">
        <f t="shared" si="1"/>
        <v>0.11873100000000014</v>
      </c>
      <c r="H47" s="17">
        <f t="shared" si="0"/>
        <v>1946</v>
      </c>
      <c r="I47" s="17"/>
      <c r="J47" s="17"/>
      <c r="K47" s="17">
        <v>631458.85124999995</v>
      </c>
      <c r="L47" s="9"/>
      <c r="M47" s="9">
        <v>1.4638640000000001</v>
      </c>
      <c r="N47" s="9">
        <f t="shared" si="2"/>
        <v>0.12002500000000005</v>
      </c>
      <c r="O47" s="9">
        <v>1.4602329999999999</v>
      </c>
      <c r="P47" s="9">
        <f t="shared" si="3"/>
        <v>0.12365600000000021</v>
      </c>
    </row>
    <row r="48" spans="1:16" x14ac:dyDescent="0.35">
      <c r="A48">
        <v>210</v>
      </c>
      <c r="B48">
        <v>1.4622059999999999</v>
      </c>
      <c r="C48">
        <v>207</v>
      </c>
      <c r="D48">
        <v>1.4603919999999999</v>
      </c>
      <c r="E48">
        <v>192</v>
      </c>
      <c r="F48">
        <v>1.456933</v>
      </c>
      <c r="G48" s="17">
        <f t="shared" si="1"/>
        <v>0.12168300000000021</v>
      </c>
      <c r="H48" s="17">
        <f t="shared" si="0"/>
        <v>1994</v>
      </c>
      <c r="I48" s="17"/>
      <c r="J48" s="17"/>
      <c r="K48" s="17">
        <v>646308.76749999996</v>
      </c>
      <c r="L48" s="9"/>
      <c r="M48" s="9">
        <v>1.4603919999999999</v>
      </c>
      <c r="N48" s="9">
        <f t="shared" si="2"/>
        <v>0.12349700000000019</v>
      </c>
      <c r="O48" s="9">
        <v>1.456933</v>
      </c>
      <c r="P48" s="9">
        <f t="shared" si="3"/>
        <v>0.12695600000000007</v>
      </c>
    </row>
    <row r="49" spans="1:16" x14ac:dyDescent="0.35">
      <c r="A49">
        <v>209</v>
      </c>
      <c r="B49">
        <v>1.4603330000000001</v>
      </c>
      <c r="C49">
        <v>206</v>
      </c>
      <c r="D49">
        <v>1.4570609999999999</v>
      </c>
      <c r="E49">
        <v>191</v>
      </c>
      <c r="F49">
        <v>1.455371</v>
      </c>
      <c r="G49" s="17">
        <f t="shared" si="1"/>
        <v>0.123556</v>
      </c>
      <c r="H49" s="17">
        <f t="shared" si="0"/>
        <v>2025</v>
      </c>
      <c r="I49" s="17"/>
      <c r="J49" s="17"/>
      <c r="K49" s="17">
        <v>661158.68374999997</v>
      </c>
      <c r="L49" s="9"/>
      <c r="M49" s="9">
        <v>1.4570609999999999</v>
      </c>
      <c r="N49" s="9">
        <f t="shared" si="2"/>
        <v>0.12682800000000016</v>
      </c>
      <c r="O49" s="9">
        <v>1.455371</v>
      </c>
      <c r="P49" s="9">
        <f t="shared" si="3"/>
        <v>0.12851800000000013</v>
      </c>
    </row>
    <row r="50" spans="1:16" x14ac:dyDescent="0.35">
      <c r="A50">
        <v>208</v>
      </c>
      <c r="B50">
        <v>1.4572179999999999</v>
      </c>
      <c r="C50">
        <v>205</v>
      </c>
      <c r="D50">
        <v>1.45478</v>
      </c>
      <c r="E50">
        <v>190</v>
      </c>
      <c r="F50">
        <v>1.452386</v>
      </c>
      <c r="G50" s="17">
        <f t="shared" si="1"/>
        <v>0.1266710000000002</v>
      </c>
      <c r="H50" s="17">
        <f t="shared" si="0"/>
        <v>2076</v>
      </c>
      <c r="I50" s="17">
        <v>37.5</v>
      </c>
      <c r="J50" s="17">
        <v>676008.6</v>
      </c>
      <c r="K50" s="17">
        <v>676008.6</v>
      </c>
      <c r="L50" s="9"/>
      <c r="M50" s="9">
        <v>1.45478</v>
      </c>
      <c r="N50" s="9">
        <f t="shared" si="2"/>
        <v>0.12910900000000014</v>
      </c>
      <c r="O50" s="9">
        <v>1.452386</v>
      </c>
      <c r="P50" s="9">
        <f t="shared" si="3"/>
        <v>0.13150300000000015</v>
      </c>
    </row>
    <row r="51" spans="1:16" x14ac:dyDescent="0.35">
      <c r="A51">
        <v>207</v>
      </c>
      <c r="B51">
        <v>1.453808</v>
      </c>
      <c r="C51">
        <v>204</v>
      </c>
      <c r="D51">
        <v>1.4512719999999999</v>
      </c>
      <c r="E51">
        <v>189</v>
      </c>
      <c r="F51">
        <v>1.4490700000000001</v>
      </c>
      <c r="G51" s="17">
        <f t="shared" si="1"/>
        <v>0.13008100000000011</v>
      </c>
      <c r="H51" s="17">
        <f t="shared" si="0"/>
        <v>2132</v>
      </c>
      <c r="I51" s="17"/>
      <c r="J51" s="17"/>
      <c r="K51" s="17">
        <v>688801.75222222204</v>
      </c>
      <c r="L51" s="9"/>
      <c r="M51" s="9">
        <v>1.4512719999999999</v>
      </c>
      <c r="N51" s="9">
        <f t="shared" si="2"/>
        <v>0.13261700000000021</v>
      </c>
      <c r="O51" s="9">
        <v>1.4490700000000001</v>
      </c>
      <c r="P51" s="9">
        <f t="shared" si="3"/>
        <v>0.13481900000000002</v>
      </c>
    </row>
    <row r="52" spans="1:16" x14ac:dyDescent="0.35">
      <c r="A52">
        <v>206</v>
      </c>
      <c r="B52">
        <v>1.4509840000000001</v>
      </c>
      <c r="C52">
        <v>203</v>
      </c>
      <c r="D52">
        <v>1.449114</v>
      </c>
      <c r="E52">
        <v>188</v>
      </c>
      <c r="F52">
        <v>1.4460980000000001</v>
      </c>
      <c r="G52" s="17">
        <f t="shared" si="1"/>
        <v>0.13290500000000005</v>
      </c>
      <c r="H52" s="17">
        <f t="shared" si="0"/>
        <v>2178</v>
      </c>
      <c r="I52" s="17"/>
      <c r="J52" s="17"/>
      <c r="K52" s="17">
        <v>701594.90444444399</v>
      </c>
      <c r="L52" s="9"/>
      <c r="M52" s="9">
        <v>1.449114</v>
      </c>
      <c r="N52" s="9">
        <f t="shared" si="2"/>
        <v>0.13477500000000009</v>
      </c>
      <c r="O52" s="9">
        <v>1.4460980000000001</v>
      </c>
      <c r="P52" s="9">
        <f t="shared" si="3"/>
        <v>0.137791</v>
      </c>
    </row>
    <row r="53" spans="1:16" x14ac:dyDescent="0.35">
      <c r="A53">
        <v>205</v>
      </c>
      <c r="B53">
        <v>1.4491810000000001</v>
      </c>
      <c r="C53">
        <v>202</v>
      </c>
      <c r="D53">
        <v>1.4460189999999999</v>
      </c>
      <c r="E53">
        <v>187</v>
      </c>
      <c r="F53">
        <v>1.4436009999999999</v>
      </c>
      <c r="G53" s="17">
        <f t="shared" si="1"/>
        <v>0.13470800000000005</v>
      </c>
      <c r="H53" s="17">
        <f t="shared" si="0"/>
        <v>2208</v>
      </c>
      <c r="I53" s="17"/>
      <c r="J53" s="17"/>
      <c r="K53" s="17">
        <v>714388.05666666594</v>
      </c>
      <c r="L53" s="9"/>
      <c r="M53" s="9">
        <v>1.4460189999999999</v>
      </c>
      <c r="N53" s="9">
        <f t="shared" si="2"/>
        <v>0.13787000000000016</v>
      </c>
      <c r="O53" s="9">
        <v>1.4436009999999999</v>
      </c>
      <c r="P53" s="9">
        <f t="shared" si="3"/>
        <v>0.14028800000000019</v>
      </c>
    </row>
    <row r="54" spans="1:16" x14ac:dyDescent="0.35">
      <c r="A54">
        <v>204</v>
      </c>
      <c r="B54">
        <v>1.4458839999999999</v>
      </c>
      <c r="C54">
        <v>201</v>
      </c>
      <c r="D54">
        <v>1.4434819999999999</v>
      </c>
      <c r="E54">
        <v>186</v>
      </c>
      <c r="F54">
        <v>1.4405250000000001</v>
      </c>
      <c r="G54" s="17">
        <f t="shared" si="1"/>
        <v>0.13800500000000016</v>
      </c>
      <c r="H54" s="17">
        <f t="shared" si="0"/>
        <v>2262</v>
      </c>
      <c r="I54" s="17"/>
      <c r="J54" s="17"/>
      <c r="K54" s="17">
        <v>727181.20888888801</v>
      </c>
      <c r="L54" s="9"/>
      <c r="M54" s="9">
        <v>1.4434819999999999</v>
      </c>
      <c r="N54" s="9">
        <f t="shared" si="2"/>
        <v>0.14040700000000017</v>
      </c>
      <c r="O54" s="9">
        <v>1.4405250000000001</v>
      </c>
      <c r="P54" s="9">
        <f t="shared" si="3"/>
        <v>0.14336400000000005</v>
      </c>
    </row>
    <row r="55" spans="1:16" x14ac:dyDescent="0.35">
      <c r="A55">
        <v>203</v>
      </c>
      <c r="B55">
        <v>1.443405</v>
      </c>
      <c r="C55">
        <v>200</v>
      </c>
      <c r="D55">
        <v>1.440358</v>
      </c>
      <c r="E55">
        <v>185</v>
      </c>
      <c r="F55">
        <v>1.4372400000000001</v>
      </c>
      <c r="G55" s="17">
        <f t="shared" si="1"/>
        <v>0.14048400000000005</v>
      </c>
      <c r="H55" s="17">
        <f t="shared" si="0"/>
        <v>2303</v>
      </c>
      <c r="I55" s="17"/>
      <c r="J55" s="17"/>
      <c r="K55" s="17">
        <v>739974.36111111101</v>
      </c>
      <c r="L55" s="9"/>
      <c r="M55" s="9">
        <v>1.440358</v>
      </c>
      <c r="N55" s="9">
        <f t="shared" si="2"/>
        <v>0.14353100000000008</v>
      </c>
      <c r="O55" s="9">
        <v>1.4372400000000001</v>
      </c>
      <c r="P55" s="9">
        <f t="shared" si="3"/>
        <v>0.14664900000000003</v>
      </c>
    </row>
    <row r="56" spans="1:16" x14ac:dyDescent="0.35">
      <c r="A56">
        <v>202</v>
      </c>
      <c r="B56">
        <v>1.4407300000000001</v>
      </c>
      <c r="C56">
        <v>199</v>
      </c>
      <c r="D56">
        <v>1.4389270000000001</v>
      </c>
      <c r="E56">
        <v>184</v>
      </c>
      <c r="F56">
        <v>1.4343429999999999</v>
      </c>
      <c r="G56" s="17">
        <f t="shared" si="1"/>
        <v>0.14315900000000004</v>
      </c>
      <c r="H56" s="17">
        <f t="shared" si="0"/>
        <v>2346</v>
      </c>
      <c r="I56" s="17"/>
      <c r="J56" s="17"/>
      <c r="K56" s="17">
        <v>752767.51333333296</v>
      </c>
      <c r="L56" s="9"/>
      <c r="M56" s="9">
        <v>1.4389270000000001</v>
      </c>
      <c r="N56" s="9">
        <f t="shared" si="2"/>
        <v>0.14496200000000004</v>
      </c>
      <c r="O56" s="9">
        <v>1.4343429999999999</v>
      </c>
      <c r="P56" s="9">
        <f t="shared" si="3"/>
        <v>0.14954600000000018</v>
      </c>
    </row>
    <row r="57" spans="1:16" x14ac:dyDescent="0.35">
      <c r="A57">
        <v>201</v>
      </c>
      <c r="B57">
        <v>1.4386350000000001</v>
      </c>
      <c r="C57">
        <v>198</v>
      </c>
      <c r="D57">
        <v>1.4358409999999999</v>
      </c>
      <c r="E57">
        <v>183</v>
      </c>
      <c r="F57">
        <v>1.4331259999999999</v>
      </c>
      <c r="G57" s="17">
        <f t="shared" si="1"/>
        <v>0.14525399999999999</v>
      </c>
      <c r="H57" s="17">
        <f t="shared" si="0"/>
        <v>2381</v>
      </c>
      <c r="I57" s="17"/>
      <c r="J57" s="17"/>
      <c r="K57" s="17">
        <v>765560.66555555502</v>
      </c>
      <c r="L57" s="9"/>
      <c r="M57" s="9">
        <v>1.4358409999999999</v>
      </c>
      <c r="N57" s="9">
        <f t="shared" si="2"/>
        <v>0.14804800000000018</v>
      </c>
      <c r="O57" s="9">
        <v>1.4331259999999999</v>
      </c>
      <c r="P57" s="9">
        <f t="shared" si="3"/>
        <v>0.1507630000000002</v>
      </c>
    </row>
    <row r="58" spans="1:16" x14ac:dyDescent="0.35">
      <c r="A58">
        <v>200</v>
      </c>
      <c r="B58">
        <v>1.4357260000000001</v>
      </c>
      <c r="C58">
        <v>197</v>
      </c>
      <c r="D58">
        <v>1.4333279999999999</v>
      </c>
      <c r="E58">
        <v>182</v>
      </c>
      <c r="F58">
        <v>1.4299500000000001</v>
      </c>
      <c r="G58" s="17">
        <f t="shared" si="1"/>
        <v>0.14816300000000004</v>
      </c>
      <c r="H58" s="17">
        <f t="shared" si="0"/>
        <v>2428</v>
      </c>
      <c r="I58" s="17"/>
      <c r="J58" s="17"/>
      <c r="K58" s="17">
        <v>778353.81777777697</v>
      </c>
      <c r="L58" s="9"/>
      <c r="M58" s="9">
        <v>1.4333279999999999</v>
      </c>
      <c r="N58" s="9">
        <f t="shared" si="2"/>
        <v>0.15056100000000017</v>
      </c>
      <c r="O58" s="9">
        <v>1.4299500000000001</v>
      </c>
      <c r="P58" s="9">
        <f t="shared" si="3"/>
        <v>0.15393900000000005</v>
      </c>
    </row>
    <row r="59" spans="1:16" x14ac:dyDescent="0.35">
      <c r="A59">
        <v>199</v>
      </c>
      <c r="B59">
        <v>1.4325540000000001</v>
      </c>
      <c r="C59">
        <v>196</v>
      </c>
      <c r="D59">
        <v>1.4300379999999999</v>
      </c>
      <c r="E59">
        <v>181</v>
      </c>
      <c r="F59">
        <v>1.4264520000000001</v>
      </c>
      <c r="G59" s="17">
        <f t="shared" si="1"/>
        <v>0.151335</v>
      </c>
      <c r="H59" s="17">
        <f t="shared" si="0"/>
        <v>2480</v>
      </c>
      <c r="I59" s="17">
        <v>37</v>
      </c>
      <c r="J59" s="17">
        <v>791146.97</v>
      </c>
      <c r="K59" s="17">
        <v>791146.97</v>
      </c>
      <c r="L59" s="9"/>
      <c r="M59" s="9">
        <v>1.4300379999999999</v>
      </c>
      <c r="N59" s="9">
        <f t="shared" si="2"/>
        <v>0.15385100000000018</v>
      </c>
      <c r="O59" s="9">
        <v>1.4264520000000001</v>
      </c>
      <c r="P59" s="9">
        <f t="shared" si="3"/>
        <v>0.15743700000000005</v>
      </c>
    </row>
    <row r="60" spans="1:16" x14ac:dyDescent="0.35">
      <c r="A60">
        <v>198</v>
      </c>
      <c r="B60">
        <v>1.429637</v>
      </c>
      <c r="C60">
        <v>195</v>
      </c>
      <c r="D60">
        <v>1.428277</v>
      </c>
      <c r="E60">
        <v>180</v>
      </c>
      <c r="F60">
        <v>1.423581</v>
      </c>
      <c r="G60" s="17">
        <f t="shared" si="1"/>
        <v>0.15425200000000006</v>
      </c>
      <c r="H60" s="17">
        <f t="shared" si="0"/>
        <v>2528</v>
      </c>
      <c r="I60" s="17"/>
      <c r="J60" s="17"/>
      <c r="K60" s="17">
        <v>807380.01857142802</v>
      </c>
      <c r="L60" s="9"/>
      <c r="M60" s="9">
        <v>1.428277</v>
      </c>
      <c r="N60" s="9">
        <f t="shared" si="2"/>
        <v>0.15561200000000008</v>
      </c>
      <c r="O60" s="9">
        <v>1.423581</v>
      </c>
      <c r="P60" s="9">
        <f t="shared" si="3"/>
        <v>0.16030800000000012</v>
      </c>
    </row>
    <row r="61" spans="1:16" x14ac:dyDescent="0.35">
      <c r="A61">
        <v>197</v>
      </c>
      <c r="B61">
        <v>1.4277029999999999</v>
      </c>
      <c r="C61">
        <v>194</v>
      </c>
      <c r="D61">
        <v>1.4247860000000001</v>
      </c>
      <c r="E61">
        <v>179</v>
      </c>
      <c r="F61">
        <v>1.4212800000000001</v>
      </c>
      <c r="G61" s="17">
        <f t="shared" si="1"/>
        <v>0.15618600000000016</v>
      </c>
      <c r="H61" s="17">
        <f t="shared" si="0"/>
        <v>2560</v>
      </c>
      <c r="I61" s="17"/>
      <c r="J61" s="17"/>
      <c r="K61" s="17">
        <v>823613.06714285701</v>
      </c>
      <c r="L61" s="9"/>
      <c r="M61" s="9">
        <v>1.4247860000000001</v>
      </c>
      <c r="N61" s="9">
        <f t="shared" si="2"/>
        <v>0.15910299999999999</v>
      </c>
      <c r="O61" s="9">
        <v>1.4212800000000001</v>
      </c>
      <c r="P61" s="9">
        <f t="shared" si="3"/>
        <v>0.162609</v>
      </c>
    </row>
    <row r="62" spans="1:16" x14ac:dyDescent="0.35">
      <c r="A62">
        <v>196</v>
      </c>
      <c r="B62">
        <v>1.424582</v>
      </c>
      <c r="C62">
        <v>193</v>
      </c>
      <c r="D62">
        <v>1.422334</v>
      </c>
      <c r="E62">
        <v>178</v>
      </c>
      <c r="F62">
        <v>1.4181299999999999</v>
      </c>
      <c r="G62" s="17">
        <f t="shared" si="1"/>
        <v>0.15930700000000009</v>
      </c>
      <c r="H62" s="17">
        <f t="shared" si="0"/>
        <v>2611</v>
      </c>
      <c r="I62" s="17"/>
      <c r="J62" s="17"/>
      <c r="K62" s="17">
        <v>839846.11571428506</v>
      </c>
      <c r="L62" s="9"/>
      <c r="M62" s="9">
        <v>1.422334</v>
      </c>
      <c r="N62" s="9">
        <f t="shared" si="2"/>
        <v>0.16155500000000012</v>
      </c>
      <c r="O62" s="9">
        <v>1.4181299999999999</v>
      </c>
      <c r="P62" s="9">
        <f t="shared" si="3"/>
        <v>0.16575900000000021</v>
      </c>
    </row>
    <row r="63" spans="1:16" x14ac:dyDescent="0.35">
      <c r="A63">
        <v>195</v>
      </c>
      <c r="B63">
        <v>1.422137</v>
      </c>
      <c r="C63">
        <v>192</v>
      </c>
      <c r="D63">
        <v>1.419095</v>
      </c>
      <c r="E63">
        <v>177</v>
      </c>
      <c r="F63">
        <v>1.415001</v>
      </c>
      <c r="G63" s="17">
        <f t="shared" si="1"/>
        <v>0.16175200000000012</v>
      </c>
      <c r="H63" s="17">
        <f t="shared" si="0"/>
        <v>2651</v>
      </c>
      <c r="I63" s="17"/>
      <c r="J63" s="17"/>
      <c r="K63" s="17">
        <v>856079.16428571404</v>
      </c>
      <c r="L63" s="9"/>
      <c r="M63" s="9">
        <v>1.419095</v>
      </c>
      <c r="N63" s="9">
        <f t="shared" si="2"/>
        <v>0.16479400000000011</v>
      </c>
      <c r="O63" s="9">
        <v>1.415001</v>
      </c>
      <c r="P63" s="9">
        <f t="shared" si="3"/>
        <v>0.16888800000000015</v>
      </c>
    </row>
    <row r="64" spans="1:16" x14ac:dyDescent="0.35">
      <c r="A64">
        <v>194</v>
      </c>
      <c r="B64">
        <v>1.419098</v>
      </c>
      <c r="C64">
        <v>191</v>
      </c>
      <c r="D64">
        <v>1.4209449999999999</v>
      </c>
      <c r="E64">
        <v>176</v>
      </c>
      <c r="F64">
        <v>1.4118029999999999</v>
      </c>
      <c r="G64" s="17">
        <f t="shared" si="1"/>
        <v>0.16479100000000013</v>
      </c>
      <c r="H64" s="17">
        <f t="shared" si="0"/>
        <v>2701</v>
      </c>
      <c r="I64" s="17"/>
      <c r="J64" s="17"/>
      <c r="K64" s="17">
        <v>872312.21285714197</v>
      </c>
      <c r="L64" s="9"/>
      <c r="M64" s="9">
        <v>1.4209449999999999</v>
      </c>
      <c r="N64" s="9">
        <f t="shared" si="2"/>
        <v>0.1629440000000002</v>
      </c>
      <c r="O64" s="9">
        <v>1.4118029999999999</v>
      </c>
      <c r="P64" s="9">
        <f t="shared" si="3"/>
        <v>0.17208600000000018</v>
      </c>
    </row>
    <row r="65" spans="1:16" x14ac:dyDescent="0.35">
      <c r="A65">
        <v>193</v>
      </c>
      <c r="B65">
        <v>1.417246</v>
      </c>
      <c r="C65">
        <v>190</v>
      </c>
      <c r="D65">
        <v>1.417921</v>
      </c>
      <c r="E65">
        <v>175</v>
      </c>
      <c r="F65">
        <v>1.4078999999999999</v>
      </c>
      <c r="G65" s="17">
        <f t="shared" si="1"/>
        <v>0.1666430000000001</v>
      </c>
      <c r="H65" s="17">
        <f t="shared" si="0"/>
        <v>2731</v>
      </c>
      <c r="I65" s="17"/>
      <c r="J65" s="17"/>
      <c r="K65" s="17">
        <v>888545.26142857096</v>
      </c>
      <c r="L65" s="9"/>
      <c r="M65" s="9">
        <v>1.417921</v>
      </c>
      <c r="N65" s="9">
        <f t="shared" si="2"/>
        <v>0.16596800000000012</v>
      </c>
      <c r="O65" s="9">
        <v>1.4078999999999999</v>
      </c>
      <c r="P65" s="9">
        <f t="shared" si="3"/>
        <v>0.17598900000000017</v>
      </c>
    </row>
    <row r="66" spans="1:16" x14ac:dyDescent="0.35">
      <c r="A66">
        <v>192</v>
      </c>
      <c r="B66">
        <v>1.4140729999999999</v>
      </c>
      <c r="C66">
        <v>189</v>
      </c>
      <c r="D66">
        <v>1.4150940000000001</v>
      </c>
      <c r="E66">
        <v>174</v>
      </c>
      <c r="F66">
        <v>1.4048320000000001</v>
      </c>
      <c r="G66" s="17">
        <f t="shared" si="1"/>
        <v>0.16981600000000019</v>
      </c>
      <c r="H66" s="17">
        <f t="shared" si="0"/>
        <v>2783</v>
      </c>
      <c r="I66" s="17">
        <v>36.5</v>
      </c>
      <c r="J66" s="17">
        <v>904778.31</v>
      </c>
      <c r="K66" s="17">
        <v>904778.31</v>
      </c>
      <c r="L66" s="9"/>
      <c r="M66" s="9">
        <v>1.4150940000000001</v>
      </c>
      <c r="N66" s="9">
        <f t="shared" si="2"/>
        <v>0.16879500000000003</v>
      </c>
      <c r="O66" s="9">
        <v>1.4048320000000001</v>
      </c>
      <c r="P66" s="9">
        <f t="shared" si="3"/>
        <v>0.17905700000000002</v>
      </c>
    </row>
    <row r="67" spans="1:16" x14ac:dyDescent="0.35">
      <c r="A67">
        <v>191</v>
      </c>
      <c r="B67">
        <v>1.4208369999999999</v>
      </c>
      <c r="C67">
        <v>188</v>
      </c>
      <c r="D67">
        <v>1.411794</v>
      </c>
      <c r="E67">
        <v>173</v>
      </c>
      <c r="F67">
        <v>1.401464</v>
      </c>
      <c r="G67" s="17">
        <f t="shared" si="1"/>
        <v>0.1630520000000002</v>
      </c>
      <c r="H67" s="17">
        <f t="shared" si="0"/>
        <v>2672</v>
      </c>
      <c r="I67" s="17"/>
      <c r="J67" s="17"/>
      <c r="K67" s="17">
        <v>920671.07714285702</v>
      </c>
      <c r="L67" s="9"/>
      <c r="M67" s="9">
        <v>1.411794</v>
      </c>
      <c r="N67" s="9">
        <f t="shared" si="2"/>
        <v>0.17209500000000011</v>
      </c>
      <c r="O67" s="9">
        <v>1.401464</v>
      </c>
      <c r="P67" s="9">
        <f t="shared" si="3"/>
        <v>0.18242500000000006</v>
      </c>
    </row>
    <row r="68" spans="1:16" x14ac:dyDescent="0.35">
      <c r="A68">
        <v>190</v>
      </c>
      <c r="B68">
        <v>1.4177930000000001</v>
      </c>
      <c r="C68">
        <v>187</v>
      </c>
      <c r="D68">
        <v>1.4096759999999999</v>
      </c>
      <c r="E68">
        <v>172</v>
      </c>
      <c r="F68">
        <v>1.398485</v>
      </c>
      <c r="G68" s="17">
        <f t="shared" si="1"/>
        <v>0.16609600000000002</v>
      </c>
      <c r="H68" s="17">
        <f t="shared" si="0"/>
        <v>2722</v>
      </c>
      <c r="I68" s="17"/>
      <c r="J68" s="17"/>
      <c r="K68" s="17">
        <v>936563.84428571397</v>
      </c>
      <c r="L68" s="9"/>
      <c r="M68" s="9">
        <v>1.4096759999999999</v>
      </c>
      <c r="N68" s="9">
        <f t="shared" si="2"/>
        <v>0.17421300000000017</v>
      </c>
      <c r="O68" s="9">
        <v>1.398485</v>
      </c>
      <c r="P68" s="9">
        <f t="shared" si="3"/>
        <v>0.18540400000000012</v>
      </c>
    </row>
    <row r="69" spans="1:16" x14ac:dyDescent="0.35">
      <c r="A69">
        <v>189</v>
      </c>
      <c r="B69">
        <v>1.4159310000000001</v>
      </c>
      <c r="C69">
        <v>186</v>
      </c>
      <c r="D69">
        <v>1.4063410000000001</v>
      </c>
      <c r="E69">
        <v>171</v>
      </c>
      <c r="F69">
        <v>1.3959379999999999</v>
      </c>
      <c r="G69" s="17">
        <f t="shared" si="1"/>
        <v>0.16795800000000005</v>
      </c>
      <c r="H69" s="17">
        <f t="shared" ref="H69:H132" si="4">INT(G69/(6.1*10^(-5)))</f>
        <v>2753</v>
      </c>
      <c r="I69" s="17"/>
      <c r="J69" s="17"/>
      <c r="K69" s="17">
        <v>952456.61142857105</v>
      </c>
      <c r="L69" s="9"/>
      <c r="M69" s="9">
        <v>1.4063410000000001</v>
      </c>
      <c r="N69" s="9">
        <f t="shared" si="2"/>
        <v>0.17754800000000004</v>
      </c>
      <c r="O69" s="9">
        <v>1.3959379999999999</v>
      </c>
      <c r="P69" s="9">
        <f t="shared" si="3"/>
        <v>0.1879510000000002</v>
      </c>
    </row>
    <row r="70" spans="1:16" x14ac:dyDescent="0.35">
      <c r="A70">
        <v>188</v>
      </c>
      <c r="B70">
        <v>1.4129910000000001</v>
      </c>
      <c r="C70">
        <v>185</v>
      </c>
      <c r="D70">
        <v>1.4041870000000001</v>
      </c>
      <c r="E70">
        <v>170</v>
      </c>
      <c r="F70">
        <v>1.392828</v>
      </c>
      <c r="G70" s="17">
        <f t="shared" ref="G70:G133" si="5">G69+(B69-B70)</f>
        <v>0.17089799999999999</v>
      </c>
      <c r="H70" s="17">
        <f t="shared" si="4"/>
        <v>2801</v>
      </c>
      <c r="I70" s="17"/>
      <c r="J70" s="17"/>
      <c r="K70" s="17">
        <v>968349.37857142801</v>
      </c>
      <c r="L70" s="9"/>
      <c r="M70" s="9">
        <v>1.4041870000000001</v>
      </c>
      <c r="N70" s="9">
        <f t="shared" ref="N70:N133" si="6">N69+(M69-M70)</f>
        <v>0.17970200000000003</v>
      </c>
      <c r="O70" s="9">
        <v>1.392828</v>
      </c>
      <c r="P70" s="9">
        <f t="shared" ref="P70:P133" si="7">P69+(O69-O70)</f>
        <v>0.19106100000000015</v>
      </c>
    </row>
    <row r="71" spans="1:16" x14ac:dyDescent="0.35">
      <c r="A71">
        <v>187</v>
      </c>
      <c r="B71">
        <v>1.410658</v>
      </c>
      <c r="C71">
        <v>184</v>
      </c>
      <c r="D71">
        <v>1.4006540000000001</v>
      </c>
      <c r="E71">
        <v>169</v>
      </c>
      <c r="F71">
        <v>1.3892469999999999</v>
      </c>
      <c r="G71" s="17">
        <f t="shared" si="5"/>
        <v>0.17323100000000013</v>
      </c>
      <c r="H71" s="17">
        <f t="shared" si="4"/>
        <v>2839</v>
      </c>
      <c r="I71" s="17"/>
      <c r="J71" s="17"/>
      <c r="K71" s="17">
        <v>984242.14571428497</v>
      </c>
      <c r="L71" s="9"/>
      <c r="M71" s="9">
        <v>1.4006540000000001</v>
      </c>
      <c r="N71" s="9">
        <f t="shared" si="6"/>
        <v>0.18323500000000004</v>
      </c>
      <c r="O71" s="9">
        <v>1.3892469999999999</v>
      </c>
      <c r="P71" s="9">
        <f t="shared" si="7"/>
        <v>0.1946420000000002</v>
      </c>
    </row>
    <row r="72" spans="1:16" x14ac:dyDescent="0.35">
      <c r="A72">
        <v>186</v>
      </c>
      <c r="B72">
        <v>1.4073070000000001</v>
      </c>
      <c r="C72">
        <v>183</v>
      </c>
      <c r="D72">
        <v>1.3994489999999999</v>
      </c>
      <c r="E72">
        <v>168</v>
      </c>
      <c r="F72">
        <v>1.386358</v>
      </c>
      <c r="G72" s="17">
        <f t="shared" si="5"/>
        <v>0.17658200000000002</v>
      </c>
      <c r="H72" s="17">
        <f t="shared" si="4"/>
        <v>2894</v>
      </c>
      <c r="I72" s="17"/>
      <c r="J72" s="17"/>
      <c r="K72" s="17">
        <v>1000134.9128571399</v>
      </c>
      <c r="L72" s="9"/>
      <c r="M72" s="9">
        <v>1.3994489999999999</v>
      </c>
      <c r="N72" s="9">
        <f t="shared" si="6"/>
        <v>0.18444000000000016</v>
      </c>
      <c r="O72" s="9">
        <v>1.386358</v>
      </c>
      <c r="P72" s="9">
        <f t="shared" si="7"/>
        <v>0.19753100000000012</v>
      </c>
    </row>
    <row r="73" spans="1:16" x14ac:dyDescent="0.35">
      <c r="A73">
        <v>185</v>
      </c>
      <c r="B73">
        <v>1.4056059999999999</v>
      </c>
      <c r="C73">
        <v>182</v>
      </c>
      <c r="D73">
        <v>1.3960809999999999</v>
      </c>
      <c r="E73">
        <v>167</v>
      </c>
      <c r="F73">
        <v>1.38503</v>
      </c>
      <c r="G73" s="17">
        <f t="shared" si="5"/>
        <v>0.17828300000000019</v>
      </c>
      <c r="H73" s="17">
        <f t="shared" si="4"/>
        <v>2922</v>
      </c>
      <c r="I73" s="17">
        <v>36</v>
      </c>
      <c r="J73" s="17">
        <v>1016027.68</v>
      </c>
      <c r="K73" s="17">
        <v>1016027.68</v>
      </c>
      <c r="L73" s="9"/>
      <c r="M73" s="9">
        <v>1.3960809999999999</v>
      </c>
      <c r="N73" s="9">
        <f t="shared" si="6"/>
        <v>0.1878080000000002</v>
      </c>
      <c r="O73" s="9">
        <v>1.38503</v>
      </c>
      <c r="P73" s="9">
        <f t="shared" si="7"/>
        <v>0.19885900000000012</v>
      </c>
    </row>
    <row r="74" spans="1:16" x14ac:dyDescent="0.35">
      <c r="A74">
        <v>184</v>
      </c>
      <c r="B74">
        <v>1.4025559999999999</v>
      </c>
      <c r="C74">
        <v>181</v>
      </c>
      <c r="D74">
        <v>1.393575</v>
      </c>
      <c r="E74">
        <v>166</v>
      </c>
      <c r="F74">
        <v>1.3818250000000001</v>
      </c>
      <c r="G74" s="17">
        <f t="shared" si="5"/>
        <v>0.18133300000000019</v>
      </c>
      <c r="H74" s="17">
        <f t="shared" si="4"/>
        <v>2972</v>
      </c>
      <c r="I74" s="17"/>
      <c r="J74" s="17"/>
      <c r="K74" s="17">
        <v>1028516.46444444</v>
      </c>
      <c r="L74" s="9"/>
      <c r="M74" s="9">
        <v>1.393575</v>
      </c>
      <c r="N74" s="9">
        <f t="shared" si="6"/>
        <v>0.19031400000000009</v>
      </c>
      <c r="O74" s="9">
        <v>1.3818250000000001</v>
      </c>
      <c r="P74" s="9">
        <f t="shared" si="7"/>
        <v>0.20206400000000002</v>
      </c>
    </row>
    <row r="75" spans="1:16" x14ac:dyDescent="0.35">
      <c r="A75">
        <v>183</v>
      </c>
      <c r="B75">
        <v>1.3992340000000001</v>
      </c>
      <c r="C75">
        <v>180</v>
      </c>
      <c r="D75">
        <v>1.3906289999999999</v>
      </c>
      <c r="E75">
        <v>165</v>
      </c>
      <c r="F75">
        <v>1.3784909999999999</v>
      </c>
      <c r="G75" s="17">
        <f t="shared" si="5"/>
        <v>0.18465500000000001</v>
      </c>
      <c r="H75" s="17">
        <f t="shared" si="4"/>
        <v>3027</v>
      </c>
      <c r="I75" s="17"/>
      <c r="J75" s="17"/>
      <c r="K75" s="17">
        <v>1041005.24888888</v>
      </c>
      <c r="L75" s="9"/>
      <c r="M75" s="9">
        <v>1.3906289999999999</v>
      </c>
      <c r="N75" s="9">
        <f t="shared" si="6"/>
        <v>0.19326000000000021</v>
      </c>
      <c r="O75" s="9">
        <v>1.3784909999999999</v>
      </c>
      <c r="P75" s="9">
        <f t="shared" si="7"/>
        <v>0.20539800000000019</v>
      </c>
    </row>
    <row r="76" spans="1:16" x14ac:dyDescent="0.35">
      <c r="A76">
        <v>182</v>
      </c>
      <c r="B76">
        <v>1.3961809999999999</v>
      </c>
      <c r="C76">
        <v>179</v>
      </c>
      <c r="D76">
        <v>1.388287</v>
      </c>
      <c r="E76">
        <v>164</v>
      </c>
      <c r="F76">
        <v>1.375345</v>
      </c>
      <c r="G76" s="17">
        <f t="shared" si="5"/>
        <v>0.18770800000000021</v>
      </c>
      <c r="H76" s="17">
        <f t="shared" si="4"/>
        <v>3077</v>
      </c>
      <c r="I76" s="17"/>
      <c r="J76" s="17"/>
      <c r="K76" s="17">
        <v>1053494.0333333299</v>
      </c>
      <c r="L76" s="9"/>
      <c r="M76" s="9">
        <v>1.388287</v>
      </c>
      <c r="N76" s="9">
        <f t="shared" si="6"/>
        <v>0.19560200000000005</v>
      </c>
      <c r="O76" s="9">
        <v>1.375345</v>
      </c>
      <c r="P76" s="9">
        <f t="shared" si="7"/>
        <v>0.20854400000000006</v>
      </c>
    </row>
    <row r="77" spans="1:16" x14ac:dyDescent="0.35">
      <c r="A77">
        <v>181</v>
      </c>
      <c r="B77">
        <v>1.3942749999999999</v>
      </c>
      <c r="C77">
        <v>178</v>
      </c>
      <c r="D77">
        <v>1.3850450000000001</v>
      </c>
      <c r="E77">
        <v>163</v>
      </c>
      <c r="F77">
        <v>1.372906</v>
      </c>
      <c r="G77" s="17">
        <f t="shared" si="5"/>
        <v>0.18961400000000017</v>
      </c>
      <c r="H77" s="17">
        <f t="shared" si="4"/>
        <v>3108</v>
      </c>
      <c r="I77" s="17"/>
      <c r="J77" s="17"/>
      <c r="K77" s="17">
        <v>1065982.8177777701</v>
      </c>
      <c r="L77" s="9"/>
      <c r="M77" s="9">
        <v>1.3850450000000001</v>
      </c>
      <c r="N77" s="9">
        <f t="shared" si="6"/>
        <v>0.19884400000000002</v>
      </c>
      <c r="O77" s="9">
        <v>1.372906</v>
      </c>
      <c r="P77" s="9">
        <f t="shared" si="7"/>
        <v>0.21098300000000014</v>
      </c>
    </row>
    <row r="78" spans="1:16" x14ac:dyDescent="0.35">
      <c r="A78">
        <v>180</v>
      </c>
      <c r="B78">
        <v>1.3909899999999999</v>
      </c>
      <c r="C78">
        <v>177</v>
      </c>
      <c r="D78">
        <v>1.3823209999999999</v>
      </c>
      <c r="E78">
        <v>162</v>
      </c>
      <c r="F78">
        <v>1.3696790000000001</v>
      </c>
      <c r="G78" s="17">
        <f t="shared" si="5"/>
        <v>0.19289900000000015</v>
      </c>
      <c r="H78" s="17">
        <f t="shared" si="4"/>
        <v>3162</v>
      </c>
      <c r="I78" s="17"/>
      <c r="J78" s="17"/>
      <c r="K78" s="17">
        <v>1078471.60222222</v>
      </c>
      <c r="L78" s="9"/>
      <c r="M78" s="9">
        <v>1.3823209999999999</v>
      </c>
      <c r="N78" s="9">
        <f t="shared" si="6"/>
        <v>0.20156800000000019</v>
      </c>
      <c r="O78" s="9">
        <v>1.3696790000000001</v>
      </c>
      <c r="P78" s="9">
        <f t="shared" si="7"/>
        <v>0.21421000000000001</v>
      </c>
    </row>
    <row r="79" spans="1:16" x14ac:dyDescent="0.35">
      <c r="A79">
        <v>179</v>
      </c>
      <c r="B79">
        <v>1.388598</v>
      </c>
      <c r="C79">
        <v>176</v>
      </c>
      <c r="D79">
        <v>1.379221</v>
      </c>
      <c r="E79">
        <v>161</v>
      </c>
      <c r="F79">
        <v>1.366431</v>
      </c>
      <c r="G79" s="17">
        <f t="shared" si="5"/>
        <v>0.1952910000000001</v>
      </c>
      <c r="H79" s="17">
        <f t="shared" si="4"/>
        <v>3201</v>
      </c>
      <c r="I79" s="17"/>
      <c r="J79" s="17"/>
      <c r="K79" s="17">
        <v>1090960.38666666</v>
      </c>
      <c r="L79" s="9"/>
      <c r="M79" s="9">
        <v>1.379221</v>
      </c>
      <c r="N79" s="9">
        <f t="shared" si="6"/>
        <v>0.20466800000000007</v>
      </c>
      <c r="O79" s="9">
        <v>1.366431</v>
      </c>
      <c r="P79" s="9">
        <f t="shared" si="7"/>
        <v>0.21745800000000015</v>
      </c>
    </row>
    <row r="80" spans="1:16" x14ac:dyDescent="0.35">
      <c r="A80">
        <v>178</v>
      </c>
      <c r="B80">
        <v>1.3857299999999999</v>
      </c>
      <c r="C80">
        <v>175</v>
      </c>
      <c r="D80">
        <v>1.375545</v>
      </c>
      <c r="E80">
        <v>160</v>
      </c>
      <c r="F80">
        <v>1.3634409999999999</v>
      </c>
      <c r="G80" s="17">
        <f t="shared" si="5"/>
        <v>0.1981590000000002</v>
      </c>
      <c r="H80" s="17">
        <f t="shared" si="4"/>
        <v>3248</v>
      </c>
      <c r="I80" s="17"/>
      <c r="J80" s="17"/>
      <c r="K80" s="17">
        <v>1103449.1711111099</v>
      </c>
      <c r="L80" s="9"/>
      <c r="M80" s="9">
        <v>1.375545</v>
      </c>
      <c r="N80" s="9">
        <f t="shared" si="6"/>
        <v>0.20834400000000008</v>
      </c>
      <c r="O80" s="9">
        <v>1.3634409999999999</v>
      </c>
      <c r="P80" s="9">
        <f t="shared" si="7"/>
        <v>0.2204480000000002</v>
      </c>
    </row>
    <row r="81" spans="1:16" x14ac:dyDescent="0.35">
      <c r="A81">
        <v>177</v>
      </c>
      <c r="B81">
        <v>1.383672</v>
      </c>
      <c r="C81">
        <v>174</v>
      </c>
      <c r="D81">
        <v>1.3723650000000001</v>
      </c>
      <c r="E81">
        <v>159</v>
      </c>
      <c r="F81">
        <v>1.3626240000000001</v>
      </c>
      <c r="G81" s="17">
        <f t="shared" si="5"/>
        <v>0.20021700000000009</v>
      </c>
      <c r="H81" s="17">
        <f t="shared" si="4"/>
        <v>3282</v>
      </c>
      <c r="I81" s="17"/>
      <c r="J81" s="17"/>
      <c r="K81" s="17">
        <v>1115937.9555555501</v>
      </c>
      <c r="L81" s="9"/>
      <c r="M81" s="9">
        <v>1.3723650000000001</v>
      </c>
      <c r="N81" s="9">
        <f t="shared" si="6"/>
        <v>0.21152400000000005</v>
      </c>
      <c r="O81" s="9">
        <v>1.3626240000000001</v>
      </c>
      <c r="P81" s="9">
        <f t="shared" si="7"/>
        <v>0.22126500000000004</v>
      </c>
    </row>
    <row r="82" spans="1:16" x14ac:dyDescent="0.35">
      <c r="A82">
        <v>176</v>
      </c>
      <c r="B82">
        <v>1.380385</v>
      </c>
      <c r="C82">
        <v>173</v>
      </c>
      <c r="D82">
        <v>1.3697490000000001</v>
      </c>
      <c r="E82">
        <v>158</v>
      </c>
      <c r="F82">
        <v>1.359402</v>
      </c>
      <c r="G82" s="17">
        <f t="shared" si="5"/>
        <v>0.20350400000000013</v>
      </c>
      <c r="H82" s="17">
        <f t="shared" si="4"/>
        <v>3336</v>
      </c>
      <c r="I82" s="17">
        <v>35.5</v>
      </c>
      <c r="J82" s="17">
        <v>1128426.74</v>
      </c>
      <c r="K82" s="17">
        <v>1128426.74</v>
      </c>
      <c r="L82" s="9"/>
      <c r="M82" s="9">
        <v>1.3697490000000001</v>
      </c>
      <c r="N82" s="9">
        <f t="shared" si="6"/>
        <v>0.21414</v>
      </c>
      <c r="O82" s="9">
        <v>1.359402</v>
      </c>
      <c r="P82" s="9">
        <f t="shared" si="7"/>
        <v>0.2244870000000001</v>
      </c>
    </row>
    <row r="83" spans="1:16" x14ac:dyDescent="0.35">
      <c r="A83">
        <v>175</v>
      </c>
      <c r="B83">
        <v>1.3772660000000001</v>
      </c>
      <c r="C83">
        <v>172</v>
      </c>
      <c r="D83">
        <v>1.3664210000000001</v>
      </c>
      <c r="E83">
        <v>157</v>
      </c>
      <c r="F83">
        <v>1.3560190000000001</v>
      </c>
      <c r="G83" s="17">
        <f t="shared" si="5"/>
        <v>0.206623</v>
      </c>
      <c r="H83" s="17">
        <f t="shared" si="4"/>
        <v>3387</v>
      </c>
      <c r="I83" s="17"/>
      <c r="J83" s="17"/>
      <c r="K83" s="17">
        <v>1141034.9325000001</v>
      </c>
      <c r="L83" s="9"/>
      <c r="M83" s="9">
        <v>1.3664210000000001</v>
      </c>
      <c r="N83" s="9">
        <f t="shared" si="6"/>
        <v>0.21746799999999999</v>
      </c>
      <c r="O83" s="9">
        <v>1.3560190000000001</v>
      </c>
      <c r="P83" s="9">
        <f t="shared" si="7"/>
        <v>0.22787000000000002</v>
      </c>
    </row>
    <row r="84" spans="1:16" x14ac:dyDescent="0.35">
      <c r="A84">
        <v>174</v>
      </c>
      <c r="B84">
        <v>1.37408</v>
      </c>
      <c r="C84">
        <v>171</v>
      </c>
      <c r="D84">
        <v>1.364377</v>
      </c>
      <c r="E84">
        <v>156</v>
      </c>
      <c r="F84">
        <v>1.3532660000000001</v>
      </c>
      <c r="G84" s="17">
        <f t="shared" si="5"/>
        <v>0.20980900000000013</v>
      </c>
      <c r="H84" s="17">
        <f t="shared" si="4"/>
        <v>3439</v>
      </c>
      <c r="I84" s="17"/>
      <c r="J84" s="17"/>
      <c r="K84" s="17">
        <v>1153643.125</v>
      </c>
      <c r="L84" s="9"/>
      <c r="M84" s="9">
        <v>1.364377</v>
      </c>
      <c r="N84" s="9">
        <f t="shared" si="6"/>
        <v>0.21951200000000015</v>
      </c>
      <c r="O84" s="9">
        <v>1.3532660000000001</v>
      </c>
      <c r="P84" s="9">
        <f t="shared" si="7"/>
        <v>0.23062300000000002</v>
      </c>
    </row>
    <row r="85" spans="1:16" x14ac:dyDescent="0.35">
      <c r="A85">
        <v>173</v>
      </c>
      <c r="B85">
        <v>1.372169</v>
      </c>
      <c r="C85">
        <v>170</v>
      </c>
      <c r="D85">
        <v>1.360948</v>
      </c>
      <c r="E85">
        <v>155</v>
      </c>
      <c r="F85">
        <v>1.3505510000000001</v>
      </c>
      <c r="G85" s="17">
        <f t="shared" si="5"/>
        <v>0.21172000000000013</v>
      </c>
      <c r="H85" s="17">
        <f t="shared" si="4"/>
        <v>3470</v>
      </c>
      <c r="I85" s="17"/>
      <c r="J85" s="17"/>
      <c r="K85" s="17">
        <v>1166251.3174999999</v>
      </c>
      <c r="L85" s="9"/>
      <c r="M85" s="9">
        <v>1.360948</v>
      </c>
      <c r="N85" s="9">
        <f t="shared" si="6"/>
        <v>0.22294100000000006</v>
      </c>
      <c r="O85" s="9">
        <v>1.3505510000000001</v>
      </c>
      <c r="P85" s="9">
        <f t="shared" si="7"/>
        <v>0.23333800000000005</v>
      </c>
    </row>
    <row r="86" spans="1:16" x14ac:dyDescent="0.35">
      <c r="A86">
        <v>172</v>
      </c>
      <c r="B86">
        <v>1.3690169999999999</v>
      </c>
      <c r="C86">
        <v>169</v>
      </c>
      <c r="D86">
        <v>1.358903</v>
      </c>
      <c r="E86">
        <v>154</v>
      </c>
      <c r="F86">
        <v>1.347712</v>
      </c>
      <c r="G86" s="17">
        <f t="shared" si="5"/>
        <v>0.21487200000000017</v>
      </c>
      <c r="H86" s="17">
        <f t="shared" si="4"/>
        <v>3522</v>
      </c>
      <c r="I86" s="17"/>
      <c r="J86" s="17"/>
      <c r="K86" s="17">
        <v>1178859.51</v>
      </c>
      <c r="L86" s="9"/>
      <c r="M86" s="9">
        <v>1.358903</v>
      </c>
      <c r="N86" s="9">
        <f t="shared" si="6"/>
        <v>0.22498600000000013</v>
      </c>
      <c r="O86" s="9">
        <v>1.347712</v>
      </c>
      <c r="P86" s="9">
        <f t="shared" si="7"/>
        <v>0.23617700000000008</v>
      </c>
    </row>
    <row r="87" spans="1:16" x14ac:dyDescent="0.35">
      <c r="A87">
        <v>171</v>
      </c>
      <c r="B87">
        <v>1.366598</v>
      </c>
      <c r="C87">
        <v>168</v>
      </c>
      <c r="D87">
        <v>1.355356</v>
      </c>
      <c r="E87">
        <v>153</v>
      </c>
      <c r="F87">
        <v>1.344185</v>
      </c>
      <c r="G87" s="17">
        <f t="shared" si="5"/>
        <v>0.21729100000000012</v>
      </c>
      <c r="H87" s="17">
        <f t="shared" si="4"/>
        <v>3562</v>
      </c>
      <c r="I87" s="17"/>
      <c r="J87" s="17"/>
      <c r="K87" s="17">
        <v>1191467.7024999999</v>
      </c>
      <c r="L87" s="9"/>
      <c r="M87" s="9">
        <v>1.355356</v>
      </c>
      <c r="N87" s="9">
        <f t="shared" si="6"/>
        <v>0.2285330000000001</v>
      </c>
      <c r="O87" s="9">
        <v>1.344185</v>
      </c>
      <c r="P87" s="9">
        <f t="shared" si="7"/>
        <v>0.23970400000000014</v>
      </c>
    </row>
    <row r="88" spans="1:16" x14ac:dyDescent="0.35">
      <c r="A88">
        <v>170</v>
      </c>
      <c r="B88">
        <v>1.363656</v>
      </c>
      <c r="C88">
        <v>167</v>
      </c>
      <c r="D88">
        <v>1.3540110000000001</v>
      </c>
      <c r="E88">
        <v>152</v>
      </c>
      <c r="F88">
        <v>1.3409740000000001</v>
      </c>
      <c r="G88" s="17">
        <f t="shared" si="5"/>
        <v>0.22023300000000012</v>
      </c>
      <c r="H88" s="17">
        <f t="shared" si="4"/>
        <v>3610</v>
      </c>
      <c r="I88" s="17"/>
      <c r="J88" s="17"/>
      <c r="K88" s="17">
        <v>1204075.895</v>
      </c>
      <c r="L88" s="9"/>
      <c r="M88" s="9">
        <v>1.3540110000000001</v>
      </c>
      <c r="N88" s="9">
        <f t="shared" si="6"/>
        <v>0.22987800000000003</v>
      </c>
      <c r="O88" s="9">
        <v>1.3409740000000001</v>
      </c>
      <c r="P88" s="9">
        <f t="shared" si="7"/>
        <v>0.24291499999999999</v>
      </c>
    </row>
    <row r="89" spans="1:16" x14ac:dyDescent="0.35">
      <c r="A89">
        <v>169</v>
      </c>
      <c r="B89">
        <v>1.361604</v>
      </c>
      <c r="C89">
        <v>166</v>
      </c>
      <c r="D89">
        <v>1.3504670000000001</v>
      </c>
      <c r="E89">
        <v>151</v>
      </c>
      <c r="F89">
        <v>1.339812</v>
      </c>
      <c r="G89" s="17">
        <f t="shared" si="5"/>
        <v>0.22228500000000007</v>
      </c>
      <c r="H89" s="17">
        <f t="shared" si="4"/>
        <v>3644</v>
      </c>
      <c r="I89" s="17"/>
      <c r="J89" s="17"/>
      <c r="K89" s="17">
        <v>1216684.0874999999</v>
      </c>
      <c r="L89" s="9"/>
      <c r="M89" s="9">
        <v>1.3504670000000001</v>
      </c>
      <c r="N89" s="9">
        <f t="shared" si="6"/>
        <v>0.23342200000000002</v>
      </c>
      <c r="O89" s="9">
        <v>1.339812</v>
      </c>
      <c r="P89" s="9">
        <f t="shared" si="7"/>
        <v>0.2440770000000001</v>
      </c>
    </row>
    <row r="90" spans="1:16" x14ac:dyDescent="0.35">
      <c r="A90">
        <v>168</v>
      </c>
      <c r="B90">
        <v>1.358546</v>
      </c>
      <c r="C90">
        <v>165</v>
      </c>
      <c r="D90">
        <v>1.3479719999999999</v>
      </c>
      <c r="E90">
        <v>150</v>
      </c>
      <c r="F90">
        <v>1.336849</v>
      </c>
      <c r="G90" s="17">
        <f t="shared" si="5"/>
        <v>0.22534300000000007</v>
      </c>
      <c r="H90" s="17">
        <f t="shared" si="4"/>
        <v>3694</v>
      </c>
      <c r="I90" s="17">
        <v>35</v>
      </c>
      <c r="J90" s="17">
        <v>1229292.28</v>
      </c>
      <c r="K90" s="17">
        <v>1229292.28</v>
      </c>
      <c r="L90" s="9"/>
      <c r="M90" s="9">
        <v>1.3479719999999999</v>
      </c>
      <c r="N90" s="9">
        <f t="shared" si="6"/>
        <v>0.23591700000000015</v>
      </c>
      <c r="O90" s="9">
        <v>1.336849</v>
      </c>
      <c r="P90" s="9">
        <f t="shared" si="7"/>
        <v>0.24704000000000015</v>
      </c>
    </row>
    <row r="91" spans="1:16" x14ac:dyDescent="0.35">
      <c r="A91">
        <v>167</v>
      </c>
      <c r="B91">
        <v>1.355281</v>
      </c>
      <c r="C91">
        <v>164</v>
      </c>
      <c r="D91">
        <v>1.344633</v>
      </c>
      <c r="E91">
        <v>149</v>
      </c>
      <c r="F91">
        <v>1.3332059999999999</v>
      </c>
      <c r="G91" s="17">
        <f t="shared" si="5"/>
        <v>0.22860800000000014</v>
      </c>
      <c r="H91" s="17">
        <f t="shared" si="4"/>
        <v>3747</v>
      </c>
      <c r="I91" s="17"/>
      <c r="J91" s="17"/>
      <c r="K91" s="17">
        <v>1247007.52</v>
      </c>
      <c r="L91" s="9"/>
      <c r="M91" s="9">
        <v>1.344633</v>
      </c>
      <c r="N91" s="9">
        <f t="shared" si="6"/>
        <v>0.23925600000000014</v>
      </c>
      <c r="O91" s="9">
        <v>1.3332059999999999</v>
      </c>
      <c r="P91" s="9">
        <f t="shared" si="7"/>
        <v>0.25068300000000021</v>
      </c>
    </row>
    <row r="92" spans="1:16" x14ac:dyDescent="0.35">
      <c r="A92">
        <v>166</v>
      </c>
      <c r="B92">
        <v>1.352231</v>
      </c>
      <c r="C92">
        <v>163</v>
      </c>
      <c r="D92">
        <v>1.3428770000000001</v>
      </c>
      <c r="E92">
        <v>148</v>
      </c>
      <c r="F92">
        <v>1.3301240000000001</v>
      </c>
      <c r="G92" s="17">
        <f t="shared" si="5"/>
        <v>0.23165800000000014</v>
      </c>
      <c r="H92" s="17">
        <f t="shared" si="4"/>
        <v>3797</v>
      </c>
      <c r="I92" s="17"/>
      <c r="J92" s="17"/>
      <c r="K92" s="17">
        <v>1264722.76</v>
      </c>
      <c r="L92" s="9"/>
      <c r="M92" s="9">
        <v>1.3428770000000001</v>
      </c>
      <c r="N92" s="9">
        <f t="shared" si="6"/>
        <v>0.241012</v>
      </c>
      <c r="O92" s="9">
        <v>1.3301240000000001</v>
      </c>
      <c r="P92" s="9">
        <f t="shared" si="7"/>
        <v>0.25376500000000002</v>
      </c>
    </row>
    <row r="93" spans="1:16" x14ac:dyDescent="0.35">
      <c r="A93">
        <v>165</v>
      </c>
      <c r="B93">
        <v>1.350549</v>
      </c>
      <c r="C93">
        <v>162</v>
      </c>
      <c r="D93">
        <v>1.3395239999999999</v>
      </c>
      <c r="E93">
        <v>147</v>
      </c>
      <c r="F93">
        <v>1.3273520000000001</v>
      </c>
      <c r="G93" s="17">
        <f t="shared" si="5"/>
        <v>0.2333400000000001</v>
      </c>
      <c r="H93" s="17">
        <f t="shared" si="4"/>
        <v>3825</v>
      </c>
      <c r="I93" s="17"/>
      <c r="J93" s="17"/>
      <c r="K93" s="17">
        <v>1282438</v>
      </c>
      <c r="L93" s="9"/>
      <c r="M93" s="9">
        <v>1.3395239999999999</v>
      </c>
      <c r="N93" s="9">
        <f t="shared" si="6"/>
        <v>0.24436500000000017</v>
      </c>
      <c r="O93" s="9">
        <v>1.3273520000000001</v>
      </c>
      <c r="P93" s="9">
        <f t="shared" si="7"/>
        <v>0.25653700000000002</v>
      </c>
    </row>
    <row r="94" spans="1:16" x14ac:dyDescent="0.35">
      <c r="A94">
        <v>164</v>
      </c>
      <c r="B94">
        <v>1.3470169999999999</v>
      </c>
      <c r="C94">
        <v>161</v>
      </c>
      <c r="D94">
        <v>1.3367789999999999</v>
      </c>
      <c r="E94">
        <v>146</v>
      </c>
      <c r="F94">
        <v>1.3245229999999999</v>
      </c>
      <c r="G94" s="17">
        <f t="shared" si="5"/>
        <v>0.23687200000000019</v>
      </c>
      <c r="H94" s="17">
        <f t="shared" si="4"/>
        <v>3883</v>
      </c>
      <c r="I94" s="17"/>
      <c r="J94" s="17"/>
      <c r="K94" s="17">
        <v>1300153.24</v>
      </c>
      <c r="L94" s="9"/>
      <c r="M94" s="9">
        <v>1.3367789999999999</v>
      </c>
      <c r="N94" s="9">
        <f t="shared" si="6"/>
        <v>0.24711000000000016</v>
      </c>
      <c r="O94" s="9">
        <v>1.3245229999999999</v>
      </c>
      <c r="P94" s="9">
        <f t="shared" si="7"/>
        <v>0.25936600000000021</v>
      </c>
    </row>
    <row r="95" spans="1:16" x14ac:dyDescent="0.35">
      <c r="A95">
        <v>163</v>
      </c>
      <c r="B95">
        <v>1.344943</v>
      </c>
      <c r="C95">
        <v>160</v>
      </c>
      <c r="D95">
        <v>1.3335239999999999</v>
      </c>
      <c r="E95">
        <v>145</v>
      </c>
      <c r="F95">
        <v>1.32084</v>
      </c>
      <c r="G95" s="17">
        <f t="shared" si="5"/>
        <v>0.2389460000000001</v>
      </c>
      <c r="H95" s="17">
        <f t="shared" si="4"/>
        <v>3917</v>
      </c>
      <c r="I95" s="17"/>
      <c r="J95" s="17"/>
      <c r="K95" s="17">
        <v>1317868.48</v>
      </c>
      <c r="L95" s="9"/>
      <c r="M95" s="9">
        <v>1.3335239999999999</v>
      </c>
      <c r="N95" s="9">
        <f t="shared" si="6"/>
        <v>0.25036500000000017</v>
      </c>
      <c r="O95" s="9">
        <v>1.32084</v>
      </c>
      <c r="P95" s="9">
        <f t="shared" si="7"/>
        <v>0.26304900000000009</v>
      </c>
    </row>
    <row r="96" spans="1:16" x14ac:dyDescent="0.35">
      <c r="A96">
        <v>162</v>
      </c>
      <c r="B96">
        <v>1.3417669999999999</v>
      </c>
      <c r="C96">
        <v>159</v>
      </c>
      <c r="D96">
        <v>1.3321829999999999</v>
      </c>
      <c r="E96">
        <v>144</v>
      </c>
      <c r="F96">
        <v>1.3178380000000001</v>
      </c>
      <c r="G96" s="17">
        <f t="shared" si="5"/>
        <v>0.24212200000000017</v>
      </c>
      <c r="H96" s="17">
        <f t="shared" si="4"/>
        <v>3969</v>
      </c>
      <c r="I96" s="17">
        <v>34.5</v>
      </c>
      <c r="J96" s="17">
        <v>1335583.72</v>
      </c>
      <c r="K96" s="17">
        <v>1335583.72</v>
      </c>
      <c r="L96" s="9"/>
      <c r="M96" s="9">
        <v>1.3321829999999999</v>
      </c>
      <c r="N96" s="9">
        <f t="shared" si="6"/>
        <v>0.25170600000000021</v>
      </c>
      <c r="O96" s="9">
        <v>1.3178380000000001</v>
      </c>
      <c r="P96" s="9">
        <f t="shared" si="7"/>
        <v>0.26605100000000004</v>
      </c>
    </row>
    <row r="97" spans="1:22" x14ac:dyDescent="0.35">
      <c r="A97">
        <v>161</v>
      </c>
      <c r="B97">
        <v>1.339901</v>
      </c>
      <c r="C97">
        <v>158</v>
      </c>
      <c r="D97">
        <v>1.3287230000000001</v>
      </c>
      <c r="E97">
        <v>143</v>
      </c>
      <c r="F97">
        <v>1.313941</v>
      </c>
      <c r="G97" s="17">
        <f t="shared" si="5"/>
        <v>0.24398800000000009</v>
      </c>
      <c r="H97" s="17">
        <f t="shared" si="4"/>
        <v>3999</v>
      </c>
      <c r="I97" s="17"/>
      <c r="J97" s="17"/>
      <c r="K97" s="17">
        <v>1351534.3883333299</v>
      </c>
      <c r="L97" s="9"/>
      <c r="M97" s="9">
        <v>1.3287230000000001</v>
      </c>
      <c r="N97" s="9">
        <f t="shared" si="6"/>
        <v>0.255166</v>
      </c>
      <c r="O97" s="9">
        <v>1.313941</v>
      </c>
      <c r="P97" s="9">
        <f t="shared" si="7"/>
        <v>0.26994800000000008</v>
      </c>
    </row>
    <row r="98" spans="1:22" x14ac:dyDescent="0.35">
      <c r="A98">
        <v>160</v>
      </c>
      <c r="B98">
        <v>1.3367610000000001</v>
      </c>
      <c r="C98">
        <v>157</v>
      </c>
      <c r="D98">
        <v>1.326452</v>
      </c>
      <c r="E98">
        <v>142</v>
      </c>
      <c r="F98">
        <v>1.310899</v>
      </c>
      <c r="G98" s="17">
        <f t="shared" si="5"/>
        <v>0.24712800000000001</v>
      </c>
      <c r="H98" s="17">
        <f t="shared" si="4"/>
        <v>4051</v>
      </c>
      <c r="I98" s="17"/>
      <c r="J98" s="17"/>
      <c r="K98" s="17">
        <v>1367485.0566666599</v>
      </c>
      <c r="L98" s="9"/>
      <c r="M98" s="9">
        <v>1.326452</v>
      </c>
      <c r="N98" s="9">
        <f t="shared" si="6"/>
        <v>0.25743700000000014</v>
      </c>
      <c r="O98" s="9">
        <v>1.310899</v>
      </c>
      <c r="P98" s="9">
        <f t="shared" si="7"/>
        <v>0.27299000000000007</v>
      </c>
    </row>
    <row r="99" spans="1:22" x14ac:dyDescent="0.35">
      <c r="A99">
        <v>159</v>
      </c>
      <c r="B99">
        <v>1.330919</v>
      </c>
      <c r="C99">
        <v>156</v>
      </c>
      <c r="D99">
        <v>1.3228329999999999</v>
      </c>
      <c r="E99">
        <v>141</v>
      </c>
      <c r="F99">
        <v>1.3073440000000001</v>
      </c>
      <c r="G99" s="17">
        <f t="shared" si="5"/>
        <v>0.25297000000000014</v>
      </c>
      <c r="H99" s="17">
        <f t="shared" si="4"/>
        <v>4147</v>
      </c>
      <c r="I99" s="17"/>
      <c r="J99" s="17"/>
      <c r="K99" s="17">
        <v>1383435.7250000001</v>
      </c>
      <c r="L99" s="9"/>
      <c r="M99" s="9">
        <v>1.3228329999999999</v>
      </c>
      <c r="N99" s="9">
        <f t="shared" si="6"/>
        <v>0.26105600000000018</v>
      </c>
      <c r="O99" s="9">
        <v>1.3073440000000001</v>
      </c>
      <c r="P99" s="9">
        <f t="shared" si="7"/>
        <v>0.27654500000000004</v>
      </c>
    </row>
    <row r="100" spans="1:22" x14ac:dyDescent="0.35">
      <c r="A100">
        <v>158</v>
      </c>
      <c r="B100">
        <v>1.327828</v>
      </c>
      <c r="C100">
        <v>155</v>
      </c>
      <c r="D100">
        <v>1.3209900000000001</v>
      </c>
      <c r="E100">
        <v>140</v>
      </c>
      <c r="F100">
        <v>1.3042450000000001</v>
      </c>
      <c r="G100" s="17">
        <f t="shared" si="5"/>
        <v>0.25606100000000009</v>
      </c>
      <c r="H100" s="17">
        <f t="shared" si="4"/>
        <v>4197</v>
      </c>
      <c r="I100" s="17"/>
      <c r="J100" s="17"/>
      <c r="K100" s="17">
        <v>1399386.3933333301</v>
      </c>
      <c r="L100" s="9"/>
      <c r="M100" s="9">
        <v>1.3209900000000001</v>
      </c>
      <c r="N100" s="9">
        <f t="shared" si="6"/>
        <v>0.26289899999999999</v>
      </c>
      <c r="O100" s="9">
        <v>1.3042450000000001</v>
      </c>
      <c r="P100" s="9">
        <f t="shared" si="7"/>
        <v>0.279644</v>
      </c>
    </row>
    <row r="101" spans="1:22" x14ac:dyDescent="0.35">
      <c r="A101">
        <v>157</v>
      </c>
      <c r="B101">
        <v>1.325936</v>
      </c>
      <c r="C101">
        <v>154</v>
      </c>
      <c r="D101">
        <v>1.3174429999999999</v>
      </c>
      <c r="E101">
        <v>139</v>
      </c>
      <c r="F101">
        <v>1.3019590000000001</v>
      </c>
      <c r="G101" s="17">
        <f t="shared" si="5"/>
        <v>0.2579530000000001</v>
      </c>
      <c r="H101" s="17">
        <f t="shared" si="4"/>
        <v>4228</v>
      </c>
      <c r="I101" s="17"/>
      <c r="J101" s="17"/>
      <c r="K101" s="17">
        <v>1415337.06166666</v>
      </c>
      <c r="L101" s="9"/>
      <c r="M101" s="9">
        <v>1.3174429999999999</v>
      </c>
      <c r="N101" s="9">
        <f t="shared" si="6"/>
        <v>0.26644600000000018</v>
      </c>
      <c r="O101" s="9">
        <v>1.3019590000000001</v>
      </c>
      <c r="P101" s="9">
        <f t="shared" si="7"/>
        <v>0.28193000000000001</v>
      </c>
      <c r="U101">
        <v>31.5</v>
      </c>
      <c r="V101">
        <v>180</v>
      </c>
    </row>
    <row r="102" spans="1:22" x14ac:dyDescent="0.35">
      <c r="A102">
        <v>156</v>
      </c>
      <c r="B102">
        <v>1.3227040000000001</v>
      </c>
      <c r="C102">
        <v>153</v>
      </c>
      <c r="D102">
        <v>1.3149470000000001</v>
      </c>
      <c r="E102">
        <v>138</v>
      </c>
      <c r="F102">
        <v>1.2987379999999999</v>
      </c>
      <c r="G102" s="17">
        <f t="shared" si="5"/>
        <v>0.261185</v>
      </c>
      <c r="H102" s="17">
        <f t="shared" si="4"/>
        <v>4281</v>
      </c>
      <c r="I102" s="17">
        <v>34</v>
      </c>
      <c r="J102" s="17">
        <v>1431287.73</v>
      </c>
      <c r="K102" s="17">
        <v>1431287.73</v>
      </c>
      <c r="L102" s="9"/>
      <c r="M102" s="9">
        <v>1.3149470000000001</v>
      </c>
      <c r="N102" s="9">
        <f t="shared" si="6"/>
        <v>0.26894200000000001</v>
      </c>
      <c r="O102" s="9">
        <v>1.2987379999999999</v>
      </c>
      <c r="P102" s="9">
        <f t="shared" si="7"/>
        <v>0.28515100000000015</v>
      </c>
      <c r="U102">
        <v>32.5</v>
      </c>
      <c r="V102">
        <v>185</v>
      </c>
    </row>
    <row r="103" spans="1:22" x14ac:dyDescent="0.35">
      <c r="A103">
        <v>155</v>
      </c>
      <c r="B103">
        <v>1.320287</v>
      </c>
      <c r="C103">
        <v>152</v>
      </c>
      <c r="D103">
        <v>1.3117300000000001</v>
      </c>
      <c r="E103">
        <v>137</v>
      </c>
      <c r="F103">
        <v>1.295126</v>
      </c>
      <c r="G103" s="17">
        <f t="shared" si="5"/>
        <v>0.26360200000000011</v>
      </c>
      <c r="H103" s="17">
        <f t="shared" si="4"/>
        <v>4321</v>
      </c>
      <c r="I103" s="17"/>
      <c r="J103" s="17"/>
      <c r="K103" s="17">
        <v>1447490.7450000001</v>
      </c>
      <c r="L103" s="9"/>
      <c r="M103" s="9">
        <v>1.3117300000000001</v>
      </c>
      <c r="N103" s="9">
        <f t="shared" si="6"/>
        <v>0.27215900000000004</v>
      </c>
      <c r="O103" s="9">
        <v>1.295126</v>
      </c>
      <c r="P103" s="9">
        <f t="shared" si="7"/>
        <v>0.2887630000000001</v>
      </c>
      <c r="U103">
        <v>33.5</v>
      </c>
      <c r="V103">
        <v>192</v>
      </c>
    </row>
    <row r="104" spans="1:22" x14ac:dyDescent="0.35">
      <c r="A104">
        <v>154</v>
      </c>
      <c r="B104">
        <v>1.317447</v>
      </c>
      <c r="C104">
        <v>151</v>
      </c>
      <c r="D104">
        <v>1.3102199999999999</v>
      </c>
      <c r="E104">
        <v>136</v>
      </c>
      <c r="F104">
        <v>1.292036</v>
      </c>
      <c r="G104" s="17">
        <f t="shared" si="5"/>
        <v>0.26644200000000007</v>
      </c>
      <c r="H104" s="17">
        <f t="shared" si="4"/>
        <v>4367</v>
      </c>
      <c r="I104" s="17"/>
      <c r="J104" s="17"/>
      <c r="K104" s="17">
        <v>1463693.76</v>
      </c>
      <c r="L104" s="9"/>
      <c r="M104" s="9">
        <v>1.3102199999999999</v>
      </c>
      <c r="N104" s="9">
        <f t="shared" si="6"/>
        <v>0.27366900000000016</v>
      </c>
      <c r="O104" s="9">
        <v>1.292036</v>
      </c>
      <c r="P104" s="9">
        <f t="shared" si="7"/>
        <v>0.29185300000000014</v>
      </c>
      <c r="U104">
        <v>34.5</v>
      </c>
      <c r="V104">
        <v>202</v>
      </c>
    </row>
    <row r="105" spans="1:22" x14ac:dyDescent="0.35">
      <c r="A105">
        <v>153</v>
      </c>
      <c r="B105">
        <v>1.3152470000000001</v>
      </c>
      <c r="C105">
        <v>150</v>
      </c>
      <c r="D105">
        <v>1.3065990000000001</v>
      </c>
      <c r="E105">
        <v>135</v>
      </c>
      <c r="F105">
        <v>1.290864</v>
      </c>
      <c r="G105" s="17">
        <f t="shared" si="5"/>
        <v>0.26864200000000005</v>
      </c>
      <c r="H105" s="17">
        <f t="shared" si="4"/>
        <v>4403</v>
      </c>
      <c r="I105" s="17"/>
      <c r="J105" s="17"/>
      <c r="K105" s="17">
        <v>1479896.7749999999</v>
      </c>
      <c r="L105" s="9"/>
      <c r="M105" s="9">
        <v>1.3065990000000001</v>
      </c>
      <c r="N105" s="9">
        <f t="shared" si="6"/>
        <v>0.27729000000000004</v>
      </c>
      <c r="O105" s="9">
        <v>1.290864</v>
      </c>
      <c r="P105" s="9">
        <f t="shared" si="7"/>
        <v>0.29302500000000009</v>
      </c>
      <c r="U105">
        <v>35.5</v>
      </c>
      <c r="V105">
        <v>210</v>
      </c>
    </row>
    <row r="106" spans="1:22" x14ac:dyDescent="0.35">
      <c r="A106">
        <v>152</v>
      </c>
      <c r="B106">
        <v>1.312052</v>
      </c>
      <c r="C106">
        <v>149</v>
      </c>
      <c r="D106">
        <v>1.3042450000000001</v>
      </c>
      <c r="E106">
        <v>134</v>
      </c>
      <c r="F106">
        <v>1.287679</v>
      </c>
      <c r="G106" s="17">
        <f t="shared" si="5"/>
        <v>0.27183700000000011</v>
      </c>
      <c r="H106" s="17">
        <f t="shared" si="4"/>
        <v>4456</v>
      </c>
      <c r="I106" s="17"/>
      <c r="J106" s="17"/>
      <c r="K106" s="17">
        <v>1496099.79</v>
      </c>
      <c r="L106" s="9"/>
      <c r="M106" s="9">
        <v>1.3042450000000001</v>
      </c>
      <c r="N106" s="9">
        <f t="shared" si="6"/>
        <v>0.279644</v>
      </c>
      <c r="O106" s="9">
        <v>1.287679</v>
      </c>
      <c r="P106" s="9">
        <f t="shared" si="7"/>
        <v>0.29621000000000008</v>
      </c>
      <c r="U106">
        <v>36.5</v>
      </c>
      <c r="V106">
        <v>218</v>
      </c>
    </row>
    <row r="107" spans="1:22" x14ac:dyDescent="0.35">
      <c r="A107">
        <v>151</v>
      </c>
      <c r="B107">
        <v>1.3088280000000001</v>
      </c>
      <c r="C107">
        <v>148</v>
      </c>
      <c r="D107">
        <v>1.3010600000000001</v>
      </c>
      <c r="E107">
        <v>133</v>
      </c>
      <c r="F107">
        <v>1.2840130000000001</v>
      </c>
      <c r="G107" s="17">
        <f t="shared" si="5"/>
        <v>0.275061</v>
      </c>
      <c r="H107" s="17">
        <f t="shared" si="4"/>
        <v>4509</v>
      </c>
      <c r="I107" s="17"/>
      <c r="J107" s="17"/>
      <c r="K107" s="17">
        <v>1512302.8049999999</v>
      </c>
      <c r="L107" s="9"/>
      <c r="M107" s="9">
        <v>1.3010600000000001</v>
      </c>
      <c r="N107" s="9">
        <f t="shared" si="6"/>
        <v>0.282829</v>
      </c>
      <c r="O107" s="9">
        <v>1.2840130000000001</v>
      </c>
      <c r="P107" s="9">
        <f t="shared" si="7"/>
        <v>0.29987600000000003</v>
      </c>
      <c r="U107">
        <v>37.5</v>
      </c>
      <c r="V107">
        <v>225</v>
      </c>
    </row>
    <row r="108" spans="1:22" x14ac:dyDescent="0.35">
      <c r="A108">
        <v>150</v>
      </c>
      <c r="B108">
        <v>1.305749</v>
      </c>
      <c r="C108">
        <v>147</v>
      </c>
      <c r="D108">
        <v>1.2988</v>
      </c>
      <c r="E108">
        <v>132</v>
      </c>
      <c r="F108">
        <v>1.281193</v>
      </c>
      <c r="G108" s="17">
        <f t="shared" si="5"/>
        <v>0.27814000000000005</v>
      </c>
      <c r="H108" s="17">
        <f t="shared" si="4"/>
        <v>4559</v>
      </c>
      <c r="I108" s="17">
        <v>33.5</v>
      </c>
      <c r="J108" s="17">
        <v>1528505.82</v>
      </c>
      <c r="K108" s="17">
        <v>1528505.82</v>
      </c>
      <c r="L108" s="9"/>
      <c r="M108" s="9">
        <v>1.2988</v>
      </c>
      <c r="N108" s="9">
        <f t="shared" si="6"/>
        <v>0.28508900000000015</v>
      </c>
      <c r="O108" s="9">
        <v>1.281193</v>
      </c>
      <c r="P108" s="9">
        <f t="shared" si="7"/>
        <v>0.30269600000000008</v>
      </c>
      <c r="U108">
        <v>38.5</v>
      </c>
      <c r="V108">
        <v>232</v>
      </c>
    </row>
    <row r="109" spans="1:22" x14ac:dyDescent="0.35">
      <c r="A109">
        <v>149</v>
      </c>
      <c r="B109">
        <v>1.3038620000000001</v>
      </c>
      <c r="C109">
        <v>146</v>
      </c>
      <c r="D109">
        <v>1.2954639999999999</v>
      </c>
      <c r="E109">
        <v>131</v>
      </c>
      <c r="F109">
        <v>1.2784</v>
      </c>
      <c r="G109" s="17">
        <f t="shared" si="5"/>
        <v>0.28002700000000003</v>
      </c>
      <c r="H109" s="17">
        <f t="shared" si="4"/>
        <v>4590</v>
      </c>
      <c r="I109" s="17"/>
      <c r="J109" s="17"/>
      <c r="K109" s="17">
        <v>1541562.0114285699</v>
      </c>
      <c r="L109" s="9"/>
      <c r="M109" s="9">
        <v>1.2954639999999999</v>
      </c>
      <c r="N109" s="9">
        <f t="shared" si="6"/>
        <v>0.28842500000000015</v>
      </c>
      <c r="O109" s="9">
        <v>1.2784</v>
      </c>
      <c r="P109" s="9">
        <f t="shared" si="7"/>
        <v>0.30548900000000012</v>
      </c>
    </row>
    <row r="110" spans="1:22" x14ac:dyDescent="0.35">
      <c r="A110">
        <v>148</v>
      </c>
      <c r="B110">
        <v>1.300565</v>
      </c>
      <c r="C110">
        <v>145</v>
      </c>
      <c r="D110">
        <v>1.2928120000000001</v>
      </c>
      <c r="E110">
        <v>130</v>
      </c>
      <c r="F110">
        <v>1.275612</v>
      </c>
      <c r="G110" s="17">
        <f t="shared" si="5"/>
        <v>0.28332400000000013</v>
      </c>
      <c r="H110" s="17">
        <f t="shared" si="4"/>
        <v>4644</v>
      </c>
      <c r="I110" s="17"/>
      <c r="J110" s="17"/>
      <c r="K110" s="17">
        <v>1554618.20285714</v>
      </c>
      <c r="L110" s="9"/>
      <c r="M110" s="9">
        <v>1.2928120000000001</v>
      </c>
      <c r="N110" s="9">
        <f t="shared" si="6"/>
        <v>0.29107700000000003</v>
      </c>
      <c r="O110" s="9">
        <v>1.275612</v>
      </c>
      <c r="P110" s="9">
        <f t="shared" si="7"/>
        <v>0.30827700000000013</v>
      </c>
    </row>
    <row r="111" spans="1:22" x14ac:dyDescent="0.35">
      <c r="A111">
        <v>147</v>
      </c>
      <c r="B111">
        <v>1.2980320000000001</v>
      </c>
      <c r="C111">
        <v>144</v>
      </c>
      <c r="D111">
        <v>1.2892710000000001</v>
      </c>
      <c r="E111">
        <v>129</v>
      </c>
      <c r="F111">
        <v>1.272268</v>
      </c>
      <c r="G111" s="17">
        <f t="shared" si="5"/>
        <v>0.28585700000000003</v>
      </c>
      <c r="H111" s="17">
        <f t="shared" si="4"/>
        <v>4686</v>
      </c>
      <c r="I111" s="17"/>
      <c r="J111" s="17"/>
      <c r="K111" s="17">
        <v>1567674.3942857101</v>
      </c>
      <c r="L111" s="9"/>
      <c r="M111" s="9">
        <v>1.2892710000000001</v>
      </c>
      <c r="N111" s="9">
        <f t="shared" si="6"/>
        <v>0.29461800000000005</v>
      </c>
      <c r="O111" s="9">
        <v>1.272268</v>
      </c>
      <c r="P111" s="9">
        <f t="shared" si="7"/>
        <v>0.31162100000000015</v>
      </c>
    </row>
    <row r="112" spans="1:22" x14ac:dyDescent="0.35">
      <c r="A112">
        <v>146</v>
      </c>
      <c r="B112">
        <v>1.294821</v>
      </c>
      <c r="C112">
        <v>143</v>
      </c>
      <c r="D112">
        <v>1.2859929999999999</v>
      </c>
      <c r="E112">
        <v>128</v>
      </c>
      <c r="F112">
        <v>1.268756</v>
      </c>
      <c r="G112" s="17">
        <f t="shared" si="5"/>
        <v>0.2890680000000001</v>
      </c>
      <c r="H112" s="17">
        <f t="shared" si="4"/>
        <v>4738</v>
      </c>
      <c r="I112" s="17"/>
      <c r="J112" s="17"/>
      <c r="K112" s="17">
        <v>1580730.5857142799</v>
      </c>
      <c r="L112" s="9"/>
      <c r="M112" s="9">
        <v>1.2859929999999999</v>
      </c>
      <c r="N112" s="9">
        <f t="shared" si="6"/>
        <v>0.29789600000000016</v>
      </c>
      <c r="O112" s="9">
        <v>1.268756</v>
      </c>
      <c r="P112" s="9">
        <f t="shared" si="7"/>
        <v>0.31513300000000011</v>
      </c>
    </row>
    <row r="113" spans="1:16" x14ac:dyDescent="0.35">
      <c r="A113">
        <v>145</v>
      </c>
      <c r="B113">
        <v>1.2929649999999999</v>
      </c>
      <c r="C113">
        <v>142</v>
      </c>
      <c r="D113">
        <v>1.2825740000000001</v>
      </c>
      <c r="E113">
        <v>127</v>
      </c>
      <c r="F113">
        <v>1.2824759999999999</v>
      </c>
      <c r="G113" s="17">
        <f t="shared" si="5"/>
        <v>0.29092400000000018</v>
      </c>
      <c r="H113" s="17">
        <f t="shared" si="4"/>
        <v>4769</v>
      </c>
      <c r="I113" s="17"/>
      <c r="J113" s="17"/>
      <c r="K113" s="17">
        <v>1593786.77714285</v>
      </c>
      <c r="L113" s="9"/>
      <c r="M113" s="9">
        <v>1.2825740000000001</v>
      </c>
      <c r="N113" s="9">
        <f t="shared" si="6"/>
        <v>0.301315</v>
      </c>
      <c r="O113" s="9">
        <v>1.2824759999999999</v>
      </c>
      <c r="P113" s="9">
        <f t="shared" si="7"/>
        <v>0.30141300000000015</v>
      </c>
    </row>
    <row r="114" spans="1:16" x14ac:dyDescent="0.35">
      <c r="A114">
        <v>144</v>
      </c>
      <c r="B114">
        <v>1.2898559999999999</v>
      </c>
      <c r="C114">
        <v>141</v>
      </c>
      <c r="D114">
        <v>1.2799160000000001</v>
      </c>
      <c r="E114">
        <v>126</v>
      </c>
      <c r="F114">
        <v>1.27938</v>
      </c>
      <c r="G114" s="17">
        <f t="shared" si="5"/>
        <v>0.29403300000000021</v>
      </c>
      <c r="H114" s="17">
        <f t="shared" si="4"/>
        <v>4820</v>
      </c>
      <c r="I114" s="17"/>
      <c r="J114" s="17"/>
      <c r="K114" s="17">
        <v>1606842.9685714201</v>
      </c>
      <c r="L114" s="9"/>
      <c r="M114" s="9">
        <v>1.2799160000000001</v>
      </c>
      <c r="N114" s="9">
        <f t="shared" si="6"/>
        <v>0.30397300000000005</v>
      </c>
      <c r="O114" s="9">
        <v>1.27938</v>
      </c>
      <c r="P114" s="9">
        <f t="shared" si="7"/>
        <v>0.30450900000000014</v>
      </c>
    </row>
    <row r="115" spans="1:16" x14ac:dyDescent="0.35">
      <c r="A115">
        <v>143</v>
      </c>
      <c r="B115">
        <v>1.286362</v>
      </c>
      <c r="C115">
        <v>140</v>
      </c>
      <c r="D115">
        <v>1.2768090000000001</v>
      </c>
      <c r="E115">
        <v>125</v>
      </c>
      <c r="F115">
        <v>1.276014</v>
      </c>
      <c r="G115" s="17">
        <f t="shared" si="5"/>
        <v>0.2975270000000001</v>
      </c>
      <c r="H115" s="17">
        <f t="shared" si="4"/>
        <v>4877</v>
      </c>
      <c r="I115" s="17">
        <v>33</v>
      </c>
      <c r="J115" s="17">
        <v>1619899.16</v>
      </c>
      <c r="K115" s="17">
        <v>1619899.16</v>
      </c>
      <c r="L115" s="9"/>
      <c r="M115" s="9">
        <v>1.2768090000000001</v>
      </c>
      <c r="N115" s="9">
        <f t="shared" si="6"/>
        <v>0.30708000000000002</v>
      </c>
      <c r="O115" s="9">
        <v>1.276014</v>
      </c>
      <c r="P115" s="9">
        <f t="shared" si="7"/>
        <v>0.30787500000000012</v>
      </c>
    </row>
    <row r="116" spans="1:16" x14ac:dyDescent="0.35">
      <c r="A116">
        <v>142</v>
      </c>
      <c r="B116">
        <v>1.2832760000000001</v>
      </c>
      <c r="C116">
        <v>139</v>
      </c>
      <c r="D116">
        <v>1.2744450000000001</v>
      </c>
      <c r="E116">
        <v>124</v>
      </c>
      <c r="F116">
        <v>1.2731440000000001</v>
      </c>
      <c r="G116" s="17">
        <f t="shared" si="5"/>
        <v>0.30061300000000002</v>
      </c>
      <c r="H116" s="17">
        <f t="shared" si="4"/>
        <v>4928</v>
      </c>
      <c r="I116" s="17"/>
      <c r="J116" s="17"/>
      <c r="K116" s="17">
        <v>1632967.98</v>
      </c>
      <c r="L116" s="9"/>
      <c r="M116" s="9">
        <v>1.2744450000000001</v>
      </c>
      <c r="N116" s="9">
        <f t="shared" si="6"/>
        <v>0.30944400000000005</v>
      </c>
      <c r="O116" s="9">
        <v>1.2731440000000001</v>
      </c>
      <c r="P116" s="9">
        <f t="shared" si="7"/>
        <v>0.31074500000000005</v>
      </c>
    </row>
    <row r="117" spans="1:16" x14ac:dyDescent="0.35">
      <c r="A117">
        <v>141</v>
      </c>
      <c r="B117">
        <v>1.281409</v>
      </c>
      <c r="C117">
        <v>138</v>
      </c>
      <c r="D117">
        <v>1.27115</v>
      </c>
      <c r="E117">
        <v>123</v>
      </c>
      <c r="F117">
        <v>1.2704279999999999</v>
      </c>
      <c r="G117" s="17">
        <f t="shared" si="5"/>
        <v>0.30248000000000008</v>
      </c>
      <c r="H117" s="17">
        <f t="shared" si="4"/>
        <v>4958</v>
      </c>
      <c r="I117" s="17"/>
      <c r="J117" s="17"/>
      <c r="K117" s="17">
        <v>1646036.79999999</v>
      </c>
      <c r="L117" s="9"/>
      <c r="M117" s="9">
        <v>1.27115</v>
      </c>
      <c r="N117" s="9">
        <f t="shared" si="6"/>
        <v>0.3127390000000001</v>
      </c>
      <c r="O117" s="9">
        <v>1.2704279999999999</v>
      </c>
      <c r="P117" s="9">
        <f t="shared" si="7"/>
        <v>0.31346100000000021</v>
      </c>
    </row>
    <row r="118" spans="1:16" x14ac:dyDescent="0.35">
      <c r="A118">
        <v>140</v>
      </c>
      <c r="B118">
        <v>1.2780849999999999</v>
      </c>
      <c r="C118">
        <v>137</v>
      </c>
      <c r="D118">
        <v>1.2686599999999999</v>
      </c>
      <c r="E118">
        <v>122</v>
      </c>
      <c r="F118">
        <v>1.2672049999999999</v>
      </c>
      <c r="G118" s="17">
        <f t="shared" si="5"/>
        <v>0.30580400000000019</v>
      </c>
      <c r="H118" s="17">
        <f t="shared" si="4"/>
        <v>5013</v>
      </c>
      <c r="I118" s="17"/>
      <c r="J118" s="17"/>
      <c r="K118" s="17">
        <v>1659105.6199999901</v>
      </c>
      <c r="L118" s="9"/>
      <c r="M118" s="9">
        <v>1.2686599999999999</v>
      </c>
      <c r="N118" s="9">
        <f t="shared" si="6"/>
        <v>0.3152290000000002</v>
      </c>
      <c r="O118" s="9">
        <v>1.2672049999999999</v>
      </c>
      <c r="P118" s="9">
        <f t="shared" si="7"/>
        <v>0.31668400000000019</v>
      </c>
    </row>
    <row r="119" spans="1:16" x14ac:dyDescent="0.35">
      <c r="A119">
        <v>139</v>
      </c>
      <c r="B119">
        <v>1.275876</v>
      </c>
      <c r="C119">
        <v>136</v>
      </c>
      <c r="D119">
        <v>1.265158</v>
      </c>
      <c r="E119">
        <v>121</v>
      </c>
      <c r="F119">
        <v>1.263398</v>
      </c>
      <c r="G119" s="17">
        <f t="shared" si="5"/>
        <v>0.30801300000000009</v>
      </c>
      <c r="H119" s="17">
        <f t="shared" si="4"/>
        <v>5049</v>
      </c>
      <c r="I119" s="17"/>
      <c r="J119" s="17"/>
      <c r="K119" s="17">
        <v>1672174.44</v>
      </c>
      <c r="L119" s="9"/>
      <c r="M119" s="9">
        <v>1.265158</v>
      </c>
      <c r="N119" s="9">
        <f t="shared" si="6"/>
        <v>0.3187310000000001</v>
      </c>
      <c r="O119" s="9">
        <v>1.263398</v>
      </c>
      <c r="P119" s="9">
        <f t="shared" si="7"/>
        <v>0.32049100000000008</v>
      </c>
    </row>
    <row r="120" spans="1:16" x14ac:dyDescent="0.35">
      <c r="A120">
        <v>138</v>
      </c>
      <c r="B120">
        <v>1.2725040000000001</v>
      </c>
      <c r="C120">
        <v>135</v>
      </c>
      <c r="D120">
        <v>1.263709</v>
      </c>
      <c r="E120">
        <v>120</v>
      </c>
      <c r="F120">
        <v>1.260745</v>
      </c>
      <c r="G120" s="17">
        <f t="shared" si="5"/>
        <v>0.31138500000000002</v>
      </c>
      <c r="H120" s="17">
        <f t="shared" si="4"/>
        <v>5104</v>
      </c>
      <c r="I120" s="17"/>
      <c r="J120" s="17"/>
      <c r="K120" s="17">
        <v>1685243.26</v>
      </c>
      <c r="L120" s="9"/>
      <c r="M120" s="9">
        <v>1.263709</v>
      </c>
      <c r="N120" s="9">
        <f t="shared" si="6"/>
        <v>0.32018000000000013</v>
      </c>
      <c r="O120" s="9">
        <v>1.260745</v>
      </c>
      <c r="P120" s="9">
        <f t="shared" si="7"/>
        <v>0.3231440000000001</v>
      </c>
    </row>
    <row r="121" spans="1:16" x14ac:dyDescent="0.35">
      <c r="A121">
        <v>137</v>
      </c>
      <c r="B121">
        <v>1.2704530000000001</v>
      </c>
      <c r="C121">
        <v>134</v>
      </c>
      <c r="D121">
        <v>1.2603519999999999</v>
      </c>
      <c r="E121">
        <v>119</v>
      </c>
      <c r="F121">
        <v>1.259279</v>
      </c>
      <c r="G121" s="17">
        <f t="shared" si="5"/>
        <v>0.31343600000000005</v>
      </c>
      <c r="H121" s="17">
        <f t="shared" si="4"/>
        <v>5138</v>
      </c>
      <c r="I121" s="17"/>
      <c r="J121" s="17"/>
      <c r="K121" s="17">
        <v>1698312.0799999901</v>
      </c>
      <c r="L121" s="9"/>
      <c r="M121" s="9">
        <v>1.2603519999999999</v>
      </c>
      <c r="N121" s="9">
        <f t="shared" si="6"/>
        <v>0.32353700000000019</v>
      </c>
      <c r="O121" s="9">
        <v>1.259279</v>
      </c>
      <c r="P121" s="9">
        <f t="shared" si="7"/>
        <v>0.32461000000000007</v>
      </c>
    </row>
    <row r="122" spans="1:16" x14ac:dyDescent="0.35">
      <c r="A122">
        <v>136</v>
      </c>
      <c r="B122">
        <v>1.267307</v>
      </c>
      <c r="C122">
        <v>133</v>
      </c>
      <c r="D122">
        <v>1.2579880000000001</v>
      </c>
      <c r="E122">
        <v>118</v>
      </c>
      <c r="F122">
        <v>1.256221</v>
      </c>
      <c r="G122" s="17">
        <f t="shared" si="5"/>
        <v>0.31658200000000014</v>
      </c>
      <c r="H122" s="17">
        <f t="shared" si="4"/>
        <v>5189</v>
      </c>
      <c r="I122" s="17">
        <v>32.5</v>
      </c>
      <c r="J122" s="17">
        <v>1711380.9</v>
      </c>
      <c r="K122" s="17">
        <v>1711380.9</v>
      </c>
      <c r="L122" s="9"/>
      <c r="M122" s="9">
        <v>1.2579880000000001</v>
      </c>
      <c r="N122" s="9">
        <f t="shared" si="6"/>
        <v>0.325901</v>
      </c>
      <c r="O122" s="9">
        <v>1.256221</v>
      </c>
      <c r="P122" s="9">
        <f t="shared" si="7"/>
        <v>0.32766800000000007</v>
      </c>
    </row>
    <row r="123" spans="1:16" x14ac:dyDescent="0.35">
      <c r="A123">
        <v>135</v>
      </c>
      <c r="B123">
        <v>1.264213</v>
      </c>
      <c r="C123">
        <v>132</v>
      </c>
      <c r="D123">
        <v>1.2544839999999999</v>
      </c>
      <c r="E123">
        <v>117</v>
      </c>
      <c r="F123">
        <v>1.2527010000000001</v>
      </c>
      <c r="G123" s="17">
        <f t="shared" si="5"/>
        <v>0.31967600000000007</v>
      </c>
      <c r="H123" s="17">
        <f t="shared" si="4"/>
        <v>5240</v>
      </c>
      <c r="I123" s="17"/>
      <c r="J123" s="17"/>
      <c r="K123" s="17">
        <v>1722503.89</v>
      </c>
      <c r="L123" s="9"/>
      <c r="M123" s="9">
        <v>1.2544839999999999</v>
      </c>
      <c r="N123" s="9">
        <f t="shared" si="6"/>
        <v>0.32940500000000017</v>
      </c>
      <c r="O123" s="9">
        <v>1.2527010000000001</v>
      </c>
      <c r="P123" s="9">
        <f t="shared" si="7"/>
        <v>0.33118800000000004</v>
      </c>
    </row>
    <row r="124" spans="1:16" x14ac:dyDescent="0.35">
      <c r="A124">
        <v>134</v>
      </c>
      <c r="B124">
        <v>1.2609589999999999</v>
      </c>
      <c r="C124">
        <v>131</v>
      </c>
      <c r="D124">
        <v>1.252605</v>
      </c>
      <c r="E124">
        <v>116</v>
      </c>
      <c r="F124">
        <v>1.24977</v>
      </c>
      <c r="G124" s="17">
        <f t="shared" si="5"/>
        <v>0.32293000000000016</v>
      </c>
      <c r="H124" s="17">
        <f t="shared" si="4"/>
        <v>5293</v>
      </c>
      <c r="I124" s="17"/>
      <c r="J124" s="17"/>
      <c r="K124" s="17">
        <v>1733626.8799999999</v>
      </c>
      <c r="L124" s="9"/>
      <c r="M124" s="9">
        <v>1.252605</v>
      </c>
      <c r="N124" s="9">
        <f t="shared" si="6"/>
        <v>0.33128400000000013</v>
      </c>
      <c r="O124" s="9">
        <v>1.24977</v>
      </c>
      <c r="P124" s="9">
        <f t="shared" si="7"/>
        <v>0.33411900000000005</v>
      </c>
    </row>
    <row r="125" spans="1:16" x14ac:dyDescent="0.35">
      <c r="A125">
        <v>133</v>
      </c>
      <c r="B125">
        <v>1.2590870000000001</v>
      </c>
      <c r="C125">
        <v>130</v>
      </c>
      <c r="D125">
        <v>1.2489380000000001</v>
      </c>
      <c r="E125">
        <v>115</v>
      </c>
      <c r="F125">
        <v>1.24698</v>
      </c>
      <c r="G125" s="17">
        <f t="shared" si="5"/>
        <v>0.32480200000000004</v>
      </c>
      <c r="H125" s="17">
        <f t="shared" si="4"/>
        <v>5324</v>
      </c>
      <c r="I125" s="17"/>
      <c r="J125" s="17"/>
      <c r="K125" s="17">
        <v>1744749.8699999901</v>
      </c>
      <c r="L125" s="9"/>
      <c r="M125" s="9">
        <v>1.2489380000000001</v>
      </c>
      <c r="N125" s="9">
        <f t="shared" si="6"/>
        <v>0.334951</v>
      </c>
      <c r="O125" s="9">
        <v>1.24698</v>
      </c>
      <c r="P125" s="9">
        <f t="shared" si="7"/>
        <v>0.33690900000000013</v>
      </c>
    </row>
    <row r="126" spans="1:16" x14ac:dyDescent="0.35">
      <c r="A126">
        <v>132</v>
      </c>
      <c r="B126">
        <v>1.2558530000000001</v>
      </c>
      <c r="C126">
        <v>129</v>
      </c>
      <c r="D126">
        <v>1.2462409999999999</v>
      </c>
      <c r="E126">
        <v>114</v>
      </c>
      <c r="F126">
        <v>1.2438290000000001</v>
      </c>
      <c r="G126" s="17">
        <f t="shared" si="5"/>
        <v>0.32803599999999999</v>
      </c>
      <c r="H126" s="17">
        <f t="shared" si="4"/>
        <v>5377</v>
      </c>
      <c r="I126" s="17"/>
      <c r="J126" s="17"/>
      <c r="K126" s="17">
        <v>1755872.8599999901</v>
      </c>
      <c r="L126" s="9"/>
      <c r="M126" s="9">
        <v>1.2462409999999999</v>
      </c>
      <c r="N126" s="9">
        <f t="shared" si="6"/>
        <v>0.33764800000000017</v>
      </c>
      <c r="O126" s="9">
        <v>1.2438290000000001</v>
      </c>
      <c r="P126" s="9">
        <f t="shared" si="7"/>
        <v>0.34006000000000003</v>
      </c>
    </row>
    <row r="127" spans="1:16" x14ac:dyDescent="0.35">
      <c r="A127">
        <v>131</v>
      </c>
      <c r="B127">
        <v>1.2532620000000001</v>
      </c>
      <c r="C127">
        <v>128</v>
      </c>
      <c r="D127">
        <v>1.242793</v>
      </c>
      <c r="E127">
        <v>113</v>
      </c>
      <c r="F127">
        <v>1.240334</v>
      </c>
      <c r="G127" s="17">
        <f t="shared" si="5"/>
        <v>0.330627</v>
      </c>
      <c r="H127" s="17">
        <f t="shared" si="4"/>
        <v>5420</v>
      </c>
      <c r="I127" s="17"/>
      <c r="J127" s="17"/>
      <c r="K127" s="17">
        <v>1766995.85</v>
      </c>
      <c r="L127" s="9"/>
      <c r="M127" s="9">
        <v>1.242793</v>
      </c>
      <c r="N127" s="9">
        <f t="shared" si="6"/>
        <v>0.34109600000000007</v>
      </c>
      <c r="O127" s="9">
        <v>1.240334</v>
      </c>
      <c r="P127" s="9">
        <f t="shared" si="7"/>
        <v>0.34355500000000005</v>
      </c>
    </row>
    <row r="128" spans="1:16" x14ac:dyDescent="0.35">
      <c r="A128">
        <v>130</v>
      </c>
      <c r="B128">
        <v>1.250067</v>
      </c>
      <c r="C128">
        <v>127</v>
      </c>
      <c r="D128">
        <v>1.2536430000000001</v>
      </c>
      <c r="E128">
        <v>112</v>
      </c>
      <c r="F128">
        <v>1.237152</v>
      </c>
      <c r="G128" s="17">
        <f t="shared" si="5"/>
        <v>0.33382200000000006</v>
      </c>
      <c r="H128" s="17">
        <f t="shared" si="4"/>
        <v>5472</v>
      </c>
      <c r="I128" s="17"/>
      <c r="J128" s="17"/>
      <c r="K128" s="17">
        <v>1778118.84</v>
      </c>
      <c r="L128" s="9"/>
      <c r="M128" s="9">
        <v>1.2536430000000001</v>
      </c>
      <c r="N128" s="9">
        <f t="shared" si="6"/>
        <v>0.33024600000000004</v>
      </c>
      <c r="O128" s="9">
        <v>1.237152</v>
      </c>
      <c r="P128" s="9">
        <f t="shared" si="7"/>
        <v>0.34673700000000007</v>
      </c>
    </row>
    <row r="129" spans="1:16" x14ac:dyDescent="0.35">
      <c r="A129">
        <v>129</v>
      </c>
      <c r="B129">
        <v>1.2482850000000001</v>
      </c>
      <c r="C129">
        <v>126</v>
      </c>
      <c r="D129">
        <v>1.2501439999999999</v>
      </c>
      <c r="E129">
        <v>111</v>
      </c>
      <c r="F129">
        <v>1.2330239999999999</v>
      </c>
      <c r="G129" s="17">
        <f t="shared" si="5"/>
        <v>0.33560400000000001</v>
      </c>
      <c r="H129" s="17">
        <f t="shared" si="4"/>
        <v>5501</v>
      </c>
      <c r="I129" s="17"/>
      <c r="J129" s="17"/>
      <c r="K129" s="17">
        <v>1789241.83</v>
      </c>
      <c r="L129" s="9"/>
      <c r="M129" s="9">
        <v>1.2501439999999999</v>
      </c>
      <c r="N129" s="9">
        <f t="shared" si="6"/>
        <v>0.33374500000000018</v>
      </c>
      <c r="O129" s="9">
        <v>1.2330239999999999</v>
      </c>
      <c r="P129" s="9">
        <f t="shared" si="7"/>
        <v>0.3508650000000002</v>
      </c>
    </row>
    <row r="130" spans="1:16" x14ac:dyDescent="0.35">
      <c r="A130">
        <v>128</v>
      </c>
      <c r="B130">
        <v>1.2448630000000001</v>
      </c>
      <c r="C130">
        <v>125</v>
      </c>
      <c r="D130">
        <v>1.24756</v>
      </c>
      <c r="E130">
        <v>110</v>
      </c>
      <c r="F130">
        <v>1.2298420000000001</v>
      </c>
      <c r="G130" s="17">
        <f t="shared" si="5"/>
        <v>0.33902600000000005</v>
      </c>
      <c r="H130" s="17">
        <f t="shared" si="4"/>
        <v>5557</v>
      </c>
      <c r="I130" s="17">
        <v>32</v>
      </c>
      <c r="J130" s="17">
        <v>1800364.82</v>
      </c>
      <c r="K130" s="17">
        <v>1800364.82</v>
      </c>
      <c r="L130" s="9"/>
      <c r="M130" s="9">
        <v>1.24756</v>
      </c>
      <c r="N130" s="9">
        <f t="shared" si="6"/>
        <v>0.3363290000000001</v>
      </c>
      <c r="O130" s="9">
        <v>1.2298420000000001</v>
      </c>
      <c r="P130" s="9">
        <f t="shared" si="7"/>
        <v>0.354047</v>
      </c>
    </row>
    <row r="131" spans="1:16" x14ac:dyDescent="0.35">
      <c r="A131">
        <v>127</v>
      </c>
      <c r="B131">
        <v>1.2491939999999999</v>
      </c>
      <c r="C131">
        <v>124</v>
      </c>
      <c r="D131">
        <v>1.244124</v>
      </c>
      <c r="E131">
        <v>109</v>
      </c>
      <c r="F131">
        <v>1.22617</v>
      </c>
      <c r="G131" s="17">
        <f t="shared" si="5"/>
        <v>0.33469500000000019</v>
      </c>
      <c r="H131" s="17">
        <f t="shared" si="4"/>
        <v>5486</v>
      </c>
      <c r="I131" s="17"/>
      <c r="J131" s="17"/>
      <c r="K131" s="17"/>
      <c r="L131" s="9"/>
      <c r="M131" s="9">
        <v>1.244124</v>
      </c>
      <c r="N131" s="9">
        <f t="shared" si="6"/>
        <v>0.33976500000000009</v>
      </c>
      <c r="O131" s="9">
        <v>1.22617</v>
      </c>
      <c r="P131" s="9">
        <f t="shared" si="7"/>
        <v>0.35771900000000012</v>
      </c>
    </row>
    <row r="132" spans="1:16" x14ac:dyDescent="0.35">
      <c r="A132">
        <v>126</v>
      </c>
      <c r="B132">
        <v>1.245886</v>
      </c>
      <c r="C132">
        <v>123</v>
      </c>
      <c r="D132">
        <v>1.2421219999999999</v>
      </c>
      <c r="E132">
        <v>108</v>
      </c>
      <c r="F132">
        <v>1.2231540000000001</v>
      </c>
      <c r="G132" s="17">
        <f t="shared" si="5"/>
        <v>0.33800300000000005</v>
      </c>
      <c r="H132" s="17">
        <f t="shared" si="4"/>
        <v>5541</v>
      </c>
      <c r="I132" s="17"/>
      <c r="J132" s="17"/>
      <c r="K132" s="17"/>
      <c r="L132" s="9"/>
      <c r="M132" s="9">
        <v>1.2421219999999999</v>
      </c>
      <c r="N132" s="9">
        <f t="shared" si="6"/>
        <v>0.34176700000000015</v>
      </c>
      <c r="O132" s="9">
        <v>1.2231540000000001</v>
      </c>
      <c r="P132" s="9">
        <f t="shared" si="7"/>
        <v>0.36073500000000003</v>
      </c>
    </row>
    <row r="133" spans="1:16" x14ac:dyDescent="0.35">
      <c r="A133">
        <v>125</v>
      </c>
      <c r="B133">
        <v>1.2441199999999999</v>
      </c>
      <c r="C133">
        <v>122</v>
      </c>
      <c r="D133">
        <v>1.2387950000000001</v>
      </c>
      <c r="E133">
        <v>107</v>
      </c>
      <c r="F133">
        <v>1.2204539999999999</v>
      </c>
      <c r="G133" s="17">
        <f t="shared" si="5"/>
        <v>0.33976900000000021</v>
      </c>
      <c r="H133" s="17">
        <f t="shared" ref="H133:H196" si="8">INT(G133/(6.1*10^(-5)))</f>
        <v>5569</v>
      </c>
      <c r="I133" s="17"/>
      <c r="J133" s="17"/>
      <c r="K133" s="17"/>
      <c r="L133" s="9"/>
      <c r="M133" s="9">
        <v>1.2387950000000001</v>
      </c>
      <c r="N133" s="9">
        <f t="shared" si="6"/>
        <v>0.34509400000000001</v>
      </c>
      <c r="O133" s="9">
        <v>1.2204539999999999</v>
      </c>
      <c r="P133" s="9">
        <f t="shared" si="7"/>
        <v>0.36343500000000017</v>
      </c>
    </row>
    <row r="134" spans="1:16" x14ac:dyDescent="0.35">
      <c r="A134">
        <v>124</v>
      </c>
      <c r="B134">
        <v>1.240934</v>
      </c>
      <c r="C134">
        <v>121</v>
      </c>
      <c r="D134">
        <v>1.2361770000000001</v>
      </c>
      <c r="E134">
        <v>106</v>
      </c>
      <c r="F134">
        <v>1.2173290000000001</v>
      </c>
      <c r="G134" s="17">
        <f t="shared" ref="G134:G197" si="9">G133+(B133-B134)</f>
        <v>0.34295500000000012</v>
      </c>
      <c r="H134" s="17">
        <f t="shared" si="8"/>
        <v>5622</v>
      </c>
      <c r="I134" s="17"/>
      <c r="J134" s="17"/>
      <c r="K134" s="17"/>
      <c r="L134" s="9"/>
      <c r="M134" s="9">
        <v>1.2361770000000001</v>
      </c>
      <c r="N134" s="9">
        <f t="shared" ref="N134:N197" si="10">N133+(M133-M134)</f>
        <v>0.34771200000000002</v>
      </c>
      <c r="O134" s="9">
        <v>1.2173290000000001</v>
      </c>
      <c r="P134" s="9">
        <f t="shared" ref="P134:P197" si="11">P133+(O133-O134)</f>
        <v>0.36656</v>
      </c>
    </row>
    <row r="135" spans="1:16" x14ac:dyDescent="0.35">
      <c r="A135">
        <v>123</v>
      </c>
      <c r="B135">
        <v>1.2382569999999999</v>
      </c>
      <c r="C135">
        <v>120</v>
      </c>
      <c r="D135">
        <v>1.2326900000000001</v>
      </c>
      <c r="E135">
        <v>105</v>
      </c>
      <c r="F135">
        <v>1.213929</v>
      </c>
      <c r="G135" s="17">
        <f t="shared" si="9"/>
        <v>0.34563200000000016</v>
      </c>
      <c r="H135" s="17">
        <f t="shared" si="8"/>
        <v>5666</v>
      </c>
      <c r="I135" s="17"/>
      <c r="J135" s="17"/>
      <c r="K135" s="17"/>
      <c r="L135" s="9"/>
      <c r="M135" s="9">
        <v>1.2326900000000001</v>
      </c>
      <c r="N135" s="9">
        <f t="shared" si="10"/>
        <v>0.35119900000000004</v>
      </c>
      <c r="O135" s="9">
        <v>1.213929</v>
      </c>
      <c r="P135" s="9">
        <f t="shared" si="11"/>
        <v>0.36996000000000007</v>
      </c>
    </row>
    <row r="136" spans="1:16" x14ac:dyDescent="0.35">
      <c r="A136">
        <v>122</v>
      </c>
      <c r="B136">
        <v>1.2350080000000001</v>
      </c>
      <c r="C136">
        <v>119</v>
      </c>
      <c r="D136">
        <v>1.231471</v>
      </c>
      <c r="E136">
        <v>104</v>
      </c>
      <c r="F136">
        <v>1.210825</v>
      </c>
      <c r="G136" s="17">
        <f t="shared" si="9"/>
        <v>0.348881</v>
      </c>
      <c r="H136" s="17">
        <f t="shared" si="8"/>
        <v>5719</v>
      </c>
      <c r="I136" s="17"/>
      <c r="J136" s="17"/>
      <c r="K136" s="17"/>
      <c r="L136" s="9"/>
      <c r="M136" s="9">
        <v>1.231471</v>
      </c>
      <c r="N136" s="9">
        <f t="shared" si="10"/>
        <v>0.35241800000000012</v>
      </c>
      <c r="O136" s="9">
        <v>1.210825</v>
      </c>
      <c r="P136" s="9">
        <f t="shared" si="11"/>
        <v>0.37306400000000006</v>
      </c>
    </row>
    <row r="137" spans="1:16" x14ac:dyDescent="0.35">
      <c r="A137">
        <v>121</v>
      </c>
      <c r="B137">
        <v>1.2331479999999999</v>
      </c>
      <c r="C137">
        <v>118</v>
      </c>
      <c r="D137">
        <v>1.227849</v>
      </c>
      <c r="E137">
        <v>103</v>
      </c>
      <c r="F137">
        <v>1.2094309999999999</v>
      </c>
      <c r="G137" s="17">
        <f t="shared" si="9"/>
        <v>0.35074100000000019</v>
      </c>
      <c r="H137" s="17">
        <f t="shared" si="8"/>
        <v>5749</v>
      </c>
      <c r="I137" s="17"/>
      <c r="J137" s="17"/>
      <c r="K137" s="17"/>
      <c r="L137" s="9"/>
      <c r="M137" s="9">
        <v>1.227849</v>
      </c>
      <c r="N137" s="9">
        <f t="shared" si="10"/>
        <v>0.35604000000000013</v>
      </c>
      <c r="O137" s="9">
        <v>1.2094309999999999</v>
      </c>
      <c r="P137" s="9">
        <f t="shared" si="11"/>
        <v>0.37445800000000018</v>
      </c>
    </row>
    <row r="138" spans="1:16" x14ac:dyDescent="0.35">
      <c r="A138">
        <v>120</v>
      </c>
      <c r="B138">
        <v>1.2298960000000001</v>
      </c>
      <c r="C138">
        <v>117</v>
      </c>
      <c r="D138">
        <v>1.225346</v>
      </c>
      <c r="E138">
        <v>102</v>
      </c>
      <c r="F138">
        <v>1.2064330000000001</v>
      </c>
      <c r="G138" s="17">
        <f t="shared" si="9"/>
        <v>0.353993</v>
      </c>
      <c r="H138" s="17">
        <f t="shared" si="8"/>
        <v>5803</v>
      </c>
      <c r="I138" s="17">
        <v>31.5</v>
      </c>
      <c r="J138" s="17">
        <v>1881606.38</v>
      </c>
      <c r="K138" s="17"/>
      <c r="L138" s="9"/>
      <c r="M138" s="9">
        <v>1.225346</v>
      </c>
      <c r="N138" s="9">
        <f t="shared" si="10"/>
        <v>0.35854300000000006</v>
      </c>
      <c r="O138" s="9">
        <v>1.2064330000000001</v>
      </c>
      <c r="P138" s="9">
        <f t="shared" si="11"/>
        <v>0.37745600000000001</v>
      </c>
    </row>
    <row r="139" spans="1:16" x14ac:dyDescent="0.35">
      <c r="A139">
        <v>119</v>
      </c>
      <c r="B139">
        <v>1.226675</v>
      </c>
      <c r="C139">
        <v>116</v>
      </c>
      <c r="D139">
        <v>1.221981</v>
      </c>
      <c r="E139">
        <v>101</v>
      </c>
      <c r="F139">
        <v>1.2027369999999999</v>
      </c>
      <c r="G139" s="17">
        <f t="shared" si="9"/>
        <v>0.35721400000000014</v>
      </c>
      <c r="H139" s="17">
        <f t="shared" si="8"/>
        <v>5855</v>
      </c>
      <c r="I139" s="17"/>
      <c r="J139" s="17"/>
      <c r="K139" s="17"/>
      <c r="L139" s="9"/>
      <c r="M139" s="9">
        <v>1.221981</v>
      </c>
      <c r="N139" s="9">
        <f t="shared" si="10"/>
        <v>0.36190800000000012</v>
      </c>
      <c r="O139" s="9">
        <v>1.2027369999999999</v>
      </c>
      <c r="P139" s="9">
        <f t="shared" si="11"/>
        <v>0.38115200000000016</v>
      </c>
    </row>
    <row r="140" spans="1:16" x14ac:dyDescent="0.35">
      <c r="A140">
        <v>118</v>
      </c>
      <c r="B140">
        <v>1.223495</v>
      </c>
      <c r="C140">
        <v>115</v>
      </c>
      <c r="D140">
        <v>1.2196800000000001</v>
      </c>
      <c r="E140">
        <v>100</v>
      </c>
      <c r="F140">
        <v>1.1999200000000001</v>
      </c>
      <c r="G140" s="17">
        <f t="shared" si="9"/>
        <v>0.3603940000000001</v>
      </c>
      <c r="H140" s="17">
        <f t="shared" si="8"/>
        <v>5908</v>
      </c>
      <c r="I140" s="17"/>
      <c r="J140" s="17"/>
      <c r="K140" s="17"/>
      <c r="L140" s="9"/>
      <c r="M140" s="9">
        <v>1.2196800000000001</v>
      </c>
      <c r="N140" s="9">
        <f t="shared" si="10"/>
        <v>0.364209</v>
      </c>
      <c r="O140" s="9">
        <v>1.1999200000000001</v>
      </c>
      <c r="P140" s="9">
        <f t="shared" si="11"/>
        <v>0.383969</v>
      </c>
    </row>
    <row r="141" spans="1:16" x14ac:dyDescent="0.35">
      <c r="A141">
        <v>117</v>
      </c>
      <c r="B141">
        <v>1.221387</v>
      </c>
      <c r="C141">
        <v>114</v>
      </c>
      <c r="D141">
        <v>1.2164379999999999</v>
      </c>
      <c r="E141">
        <v>99</v>
      </c>
      <c r="F141">
        <v>1.197038</v>
      </c>
      <c r="G141" s="17">
        <f t="shared" si="9"/>
        <v>0.3625020000000001</v>
      </c>
      <c r="H141" s="17">
        <f t="shared" si="8"/>
        <v>5942</v>
      </c>
      <c r="I141" s="17"/>
      <c r="J141" s="17"/>
      <c r="K141" s="17"/>
      <c r="L141" s="9"/>
      <c r="M141" s="9">
        <v>1.2164379999999999</v>
      </c>
      <c r="N141" s="9">
        <f t="shared" si="10"/>
        <v>0.36745100000000019</v>
      </c>
      <c r="O141" s="9">
        <v>1.197038</v>
      </c>
      <c r="P141" s="9">
        <f t="shared" si="11"/>
        <v>0.38685100000000006</v>
      </c>
    </row>
    <row r="142" spans="1:16" x14ac:dyDescent="0.35">
      <c r="A142">
        <v>116</v>
      </c>
      <c r="B142">
        <v>1.2182040000000001</v>
      </c>
      <c r="C142">
        <v>113</v>
      </c>
      <c r="D142">
        <v>1.2136899999999999</v>
      </c>
      <c r="E142">
        <v>98</v>
      </c>
      <c r="F142">
        <v>1.1937679999999999</v>
      </c>
      <c r="G142" s="17">
        <f t="shared" si="9"/>
        <v>0.36568500000000004</v>
      </c>
      <c r="H142" s="17">
        <f t="shared" si="8"/>
        <v>5994</v>
      </c>
      <c r="I142" s="17"/>
      <c r="J142" s="17"/>
      <c r="K142" s="17"/>
      <c r="L142" s="9"/>
      <c r="M142" s="9">
        <v>1.2136899999999999</v>
      </c>
      <c r="N142" s="9">
        <f t="shared" si="10"/>
        <v>0.37019900000000017</v>
      </c>
      <c r="O142" s="9">
        <v>1.1937679999999999</v>
      </c>
      <c r="P142" s="9">
        <f t="shared" si="11"/>
        <v>0.39012100000000016</v>
      </c>
    </row>
    <row r="143" spans="1:16" x14ac:dyDescent="0.35">
      <c r="A143">
        <v>115</v>
      </c>
      <c r="B143">
        <v>1.2156960000000001</v>
      </c>
      <c r="C143">
        <v>112</v>
      </c>
      <c r="D143">
        <v>1.210283</v>
      </c>
      <c r="E143">
        <v>97</v>
      </c>
      <c r="F143">
        <v>1.190391</v>
      </c>
      <c r="G143" s="17">
        <f t="shared" si="9"/>
        <v>0.36819299999999999</v>
      </c>
      <c r="H143" s="17">
        <f t="shared" si="8"/>
        <v>6035</v>
      </c>
      <c r="I143" s="17"/>
      <c r="J143" s="17"/>
      <c r="K143" s="17"/>
      <c r="L143" s="9"/>
      <c r="M143" s="9">
        <v>1.210283</v>
      </c>
      <c r="N143" s="9">
        <f t="shared" si="10"/>
        <v>0.3736060000000001</v>
      </c>
      <c r="O143" s="9">
        <v>1.190391</v>
      </c>
      <c r="P143" s="9">
        <f t="shared" si="11"/>
        <v>0.39349800000000013</v>
      </c>
    </row>
    <row r="144" spans="1:16" x14ac:dyDescent="0.35">
      <c r="A144">
        <v>114</v>
      </c>
      <c r="B144">
        <v>1.2123360000000001</v>
      </c>
      <c r="C144">
        <v>111</v>
      </c>
      <c r="D144">
        <v>1.2068049999999999</v>
      </c>
      <c r="E144">
        <v>96</v>
      </c>
      <c r="F144">
        <v>1.187084</v>
      </c>
      <c r="G144" s="17">
        <f t="shared" si="9"/>
        <v>0.37155300000000002</v>
      </c>
      <c r="H144" s="17">
        <f t="shared" si="8"/>
        <v>6091</v>
      </c>
      <c r="I144" s="17"/>
      <c r="J144" s="17"/>
      <c r="K144" s="17"/>
      <c r="L144" s="9"/>
      <c r="M144" s="9">
        <v>1.2068049999999999</v>
      </c>
      <c r="N144" s="9">
        <f t="shared" si="10"/>
        <v>0.3770840000000002</v>
      </c>
      <c r="O144" s="9">
        <v>1.187084</v>
      </c>
      <c r="P144" s="9">
        <f t="shared" si="11"/>
        <v>0.39680500000000007</v>
      </c>
    </row>
    <row r="145" spans="1:16" x14ac:dyDescent="0.35">
      <c r="A145">
        <v>113</v>
      </c>
      <c r="B145">
        <v>1.2103999999999999</v>
      </c>
      <c r="C145">
        <v>110</v>
      </c>
      <c r="D145">
        <v>1.203273</v>
      </c>
      <c r="E145">
        <v>95</v>
      </c>
      <c r="F145">
        <v>1.186372</v>
      </c>
      <c r="G145" s="17">
        <f t="shared" si="9"/>
        <v>0.37348900000000018</v>
      </c>
      <c r="H145" s="17">
        <f t="shared" si="8"/>
        <v>6122</v>
      </c>
      <c r="I145" s="17">
        <v>31</v>
      </c>
      <c r="J145" s="17">
        <v>1966669.19</v>
      </c>
      <c r="K145" s="17"/>
      <c r="L145" s="9"/>
      <c r="M145" s="9">
        <v>1.203273</v>
      </c>
      <c r="N145" s="9">
        <f t="shared" si="10"/>
        <v>0.38061600000000007</v>
      </c>
      <c r="O145" s="9">
        <v>1.186372</v>
      </c>
      <c r="P145" s="9">
        <f t="shared" si="11"/>
        <v>0.39751700000000012</v>
      </c>
    </row>
    <row r="146" spans="1:16" x14ac:dyDescent="0.35">
      <c r="A146">
        <v>112</v>
      </c>
      <c r="B146">
        <v>1.2070959999999999</v>
      </c>
      <c r="C146">
        <v>109</v>
      </c>
      <c r="D146">
        <v>1.200761</v>
      </c>
      <c r="E146">
        <v>94</v>
      </c>
      <c r="F146">
        <v>1.1830719999999999</v>
      </c>
      <c r="G146" s="17">
        <f t="shared" si="9"/>
        <v>0.37679300000000016</v>
      </c>
      <c r="H146" s="17">
        <f t="shared" si="8"/>
        <v>6176</v>
      </c>
      <c r="I146" s="17"/>
      <c r="J146" s="17"/>
      <c r="K146" s="17"/>
      <c r="L146" s="9"/>
      <c r="M146" s="9">
        <v>1.200761</v>
      </c>
      <c r="N146" s="9">
        <f t="shared" si="10"/>
        <v>0.38312800000000014</v>
      </c>
      <c r="O146" s="9">
        <v>1.1830719999999999</v>
      </c>
      <c r="P146" s="9">
        <f t="shared" si="11"/>
        <v>0.4008170000000002</v>
      </c>
    </row>
    <row r="147" spans="1:16" x14ac:dyDescent="0.35">
      <c r="A147">
        <v>111</v>
      </c>
      <c r="B147">
        <v>1.2038340000000001</v>
      </c>
      <c r="C147">
        <v>108</v>
      </c>
      <c r="D147">
        <v>1.1970749999999999</v>
      </c>
      <c r="E147">
        <v>93</v>
      </c>
      <c r="F147">
        <v>1.1793979999999999</v>
      </c>
      <c r="G147" s="17">
        <f t="shared" si="9"/>
        <v>0.38005500000000003</v>
      </c>
      <c r="H147" s="17">
        <f t="shared" si="8"/>
        <v>6230</v>
      </c>
      <c r="I147" s="17"/>
      <c r="J147" s="17"/>
      <c r="K147" s="17"/>
      <c r="L147" s="9"/>
      <c r="M147" s="9">
        <v>1.1970749999999999</v>
      </c>
      <c r="N147" s="9">
        <f t="shared" si="10"/>
        <v>0.38681400000000021</v>
      </c>
      <c r="O147" s="9">
        <v>1.1793979999999999</v>
      </c>
      <c r="P147" s="9">
        <f t="shared" si="11"/>
        <v>0.40449100000000016</v>
      </c>
    </row>
    <row r="148" spans="1:16" x14ac:dyDescent="0.35">
      <c r="A148">
        <v>110</v>
      </c>
      <c r="B148">
        <v>1.200493</v>
      </c>
      <c r="C148">
        <v>107</v>
      </c>
      <c r="D148">
        <v>1.1949460000000001</v>
      </c>
      <c r="E148">
        <v>92</v>
      </c>
      <c r="F148">
        <v>1.176231</v>
      </c>
      <c r="G148" s="17">
        <f t="shared" si="9"/>
        <v>0.38339600000000007</v>
      </c>
      <c r="H148" s="17">
        <f t="shared" si="8"/>
        <v>6285</v>
      </c>
      <c r="I148" s="17"/>
      <c r="J148" s="17"/>
      <c r="K148" s="17"/>
      <c r="L148" s="9"/>
      <c r="M148" s="9">
        <v>1.1949460000000001</v>
      </c>
      <c r="N148" s="9">
        <f t="shared" si="10"/>
        <v>0.38894300000000004</v>
      </c>
      <c r="O148" s="9">
        <v>1.176231</v>
      </c>
      <c r="P148" s="9">
        <f t="shared" si="11"/>
        <v>0.40765800000000008</v>
      </c>
    </row>
    <row r="149" spans="1:16" x14ac:dyDescent="0.35">
      <c r="A149">
        <v>109</v>
      </c>
      <c r="B149">
        <v>1.198874</v>
      </c>
      <c r="C149">
        <v>106</v>
      </c>
      <c r="D149">
        <v>1.1917530000000001</v>
      </c>
      <c r="E149">
        <v>91</v>
      </c>
      <c r="F149">
        <v>1.173926</v>
      </c>
      <c r="G149" s="17">
        <f t="shared" si="9"/>
        <v>0.38501500000000011</v>
      </c>
      <c r="H149" s="17">
        <f t="shared" si="8"/>
        <v>6311</v>
      </c>
      <c r="I149" s="17"/>
      <c r="J149" s="17"/>
      <c r="K149" s="17"/>
      <c r="L149" s="9"/>
      <c r="M149" s="9">
        <v>1.1917530000000001</v>
      </c>
      <c r="N149" s="9">
        <f t="shared" si="10"/>
        <v>0.39213600000000004</v>
      </c>
      <c r="O149" s="9">
        <v>1.173926</v>
      </c>
      <c r="P149" s="9">
        <f t="shared" si="11"/>
        <v>0.40996300000000008</v>
      </c>
    </row>
    <row r="150" spans="1:16" x14ac:dyDescent="0.35">
      <c r="A150">
        <v>108</v>
      </c>
      <c r="B150">
        <v>1.1954670000000001</v>
      </c>
      <c r="C150">
        <v>105</v>
      </c>
      <c r="D150">
        <v>1.1890989999999999</v>
      </c>
      <c r="E150">
        <v>90</v>
      </c>
      <c r="F150">
        <v>1.170512</v>
      </c>
      <c r="G150" s="17">
        <f t="shared" si="9"/>
        <v>0.38842200000000005</v>
      </c>
      <c r="H150" s="17">
        <f t="shared" si="8"/>
        <v>6367</v>
      </c>
      <c r="I150" s="17"/>
      <c r="J150" s="17"/>
      <c r="K150" s="17"/>
      <c r="L150" s="9"/>
      <c r="M150" s="9">
        <v>1.1890989999999999</v>
      </c>
      <c r="N150" s="9">
        <f t="shared" si="10"/>
        <v>0.3947900000000002</v>
      </c>
      <c r="O150" s="9">
        <v>1.170512</v>
      </c>
      <c r="P150" s="9">
        <f t="shared" si="11"/>
        <v>0.41337700000000011</v>
      </c>
    </row>
    <row r="151" spans="1:16" x14ac:dyDescent="0.35">
      <c r="A151">
        <v>107</v>
      </c>
      <c r="B151">
        <v>1.1928019999999999</v>
      </c>
      <c r="C151">
        <v>104</v>
      </c>
      <c r="D151">
        <v>1.185643</v>
      </c>
      <c r="E151">
        <v>89</v>
      </c>
      <c r="F151">
        <v>1.167003</v>
      </c>
      <c r="G151" s="17">
        <f t="shared" si="9"/>
        <v>0.39108700000000018</v>
      </c>
      <c r="H151" s="17">
        <f t="shared" si="8"/>
        <v>6411</v>
      </c>
      <c r="I151" s="17"/>
      <c r="J151" s="17"/>
      <c r="K151" s="17"/>
      <c r="L151" s="9"/>
      <c r="M151" s="9">
        <v>1.185643</v>
      </c>
      <c r="N151" s="9">
        <f t="shared" si="10"/>
        <v>0.3982460000000001</v>
      </c>
      <c r="O151" s="9">
        <v>1.167003</v>
      </c>
      <c r="P151" s="9">
        <f t="shared" si="11"/>
        <v>0.41688600000000009</v>
      </c>
    </row>
    <row r="152" spans="1:16" x14ac:dyDescent="0.35">
      <c r="A152">
        <v>106</v>
      </c>
      <c r="B152">
        <v>1.189616</v>
      </c>
      <c r="C152">
        <v>103</v>
      </c>
      <c r="D152">
        <v>1.1844030000000001</v>
      </c>
      <c r="E152">
        <v>88</v>
      </c>
      <c r="F152">
        <v>1.1637280000000001</v>
      </c>
      <c r="G152" s="17">
        <f t="shared" si="9"/>
        <v>0.3942730000000001</v>
      </c>
      <c r="H152" s="17">
        <f t="shared" si="8"/>
        <v>6463</v>
      </c>
      <c r="I152" s="17">
        <v>30.5</v>
      </c>
      <c r="J152" s="17">
        <v>2049825.53</v>
      </c>
      <c r="K152" s="17"/>
      <c r="L152" s="9"/>
      <c r="M152" s="9">
        <v>1.1844030000000001</v>
      </c>
      <c r="N152" s="9">
        <f t="shared" si="10"/>
        <v>0.39948600000000001</v>
      </c>
      <c r="O152" s="9">
        <v>1.1637280000000001</v>
      </c>
      <c r="P152" s="9">
        <f t="shared" si="11"/>
        <v>0.42016100000000001</v>
      </c>
    </row>
    <row r="153" spans="1:16" x14ac:dyDescent="0.35">
      <c r="A153">
        <v>105</v>
      </c>
      <c r="B153">
        <v>1.1875560000000001</v>
      </c>
      <c r="C153">
        <v>102</v>
      </c>
      <c r="D153">
        <v>1.1808419999999999</v>
      </c>
      <c r="E153">
        <v>87</v>
      </c>
      <c r="F153">
        <v>1.1625209999999999</v>
      </c>
      <c r="G153" s="17">
        <f t="shared" si="9"/>
        <v>0.39633300000000005</v>
      </c>
      <c r="H153" s="17">
        <f t="shared" si="8"/>
        <v>6497</v>
      </c>
      <c r="I153" s="17"/>
      <c r="J153" s="17"/>
      <c r="K153" s="17"/>
      <c r="L153" s="9"/>
      <c r="M153" s="9">
        <v>1.1808419999999999</v>
      </c>
      <c r="N153" s="9">
        <f t="shared" si="10"/>
        <v>0.40304700000000016</v>
      </c>
      <c r="O153" s="9">
        <v>1.1625209999999999</v>
      </c>
      <c r="P153" s="9">
        <f t="shared" si="11"/>
        <v>0.42136800000000019</v>
      </c>
    </row>
    <row r="154" spans="1:16" x14ac:dyDescent="0.35">
      <c r="A154">
        <v>104</v>
      </c>
      <c r="B154">
        <v>1.184569</v>
      </c>
      <c r="C154">
        <v>101</v>
      </c>
      <c r="D154">
        <v>1.178199</v>
      </c>
      <c r="E154">
        <v>86</v>
      </c>
      <c r="F154">
        <v>1.159181</v>
      </c>
      <c r="G154" s="17">
        <f t="shared" si="9"/>
        <v>0.39932000000000012</v>
      </c>
      <c r="H154" s="17">
        <f t="shared" si="8"/>
        <v>6546</v>
      </c>
      <c r="I154" s="17"/>
      <c r="J154" s="17"/>
      <c r="K154" s="17"/>
      <c r="L154" s="9"/>
      <c r="M154" s="9">
        <v>1.178199</v>
      </c>
      <c r="N154" s="9">
        <f t="shared" si="10"/>
        <v>0.40569000000000011</v>
      </c>
      <c r="O154" s="9">
        <v>1.159181</v>
      </c>
      <c r="P154" s="9">
        <f t="shared" si="11"/>
        <v>0.42470800000000009</v>
      </c>
    </row>
    <row r="155" spans="1:16" x14ac:dyDescent="0.35">
      <c r="A155">
        <v>103</v>
      </c>
      <c r="B155">
        <v>1.18123</v>
      </c>
      <c r="C155">
        <v>100</v>
      </c>
      <c r="D155">
        <v>1.174587</v>
      </c>
      <c r="E155">
        <v>85</v>
      </c>
      <c r="F155">
        <v>1.155646</v>
      </c>
      <c r="G155" s="17">
        <f t="shared" si="9"/>
        <v>0.4026590000000001</v>
      </c>
      <c r="H155" s="17">
        <f t="shared" si="8"/>
        <v>6600</v>
      </c>
      <c r="I155" s="17"/>
      <c r="J155" s="17"/>
      <c r="K155" s="17"/>
      <c r="L155" s="9"/>
      <c r="M155" s="9">
        <v>1.174587</v>
      </c>
      <c r="N155" s="9">
        <f t="shared" si="10"/>
        <v>0.40930200000000005</v>
      </c>
      <c r="O155" s="9">
        <v>1.155646</v>
      </c>
      <c r="P155" s="9">
        <f t="shared" si="11"/>
        <v>0.42824300000000015</v>
      </c>
    </row>
    <row r="156" spans="1:16" x14ac:dyDescent="0.35">
      <c r="A156">
        <v>102</v>
      </c>
      <c r="B156">
        <v>1.177975</v>
      </c>
      <c r="C156">
        <v>99</v>
      </c>
      <c r="D156">
        <v>1.172642</v>
      </c>
      <c r="E156">
        <v>84</v>
      </c>
      <c r="F156">
        <v>1.152577</v>
      </c>
      <c r="G156" s="17">
        <f t="shared" si="9"/>
        <v>0.40591400000000011</v>
      </c>
      <c r="H156" s="17">
        <f t="shared" si="8"/>
        <v>6654</v>
      </c>
      <c r="I156" s="17"/>
      <c r="J156" s="17"/>
      <c r="K156" s="17"/>
      <c r="L156" s="9"/>
      <c r="M156" s="9">
        <v>1.172642</v>
      </c>
      <c r="N156" s="9">
        <f t="shared" si="10"/>
        <v>0.41124700000000014</v>
      </c>
      <c r="O156" s="9">
        <v>1.152577</v>
      </c>
      <c r="P156" s="9">
        <f t="shared" si="11"/>
        <v>0.43131200000000014</v>
      </c>
    </row>
    <row r="157" spans="1:16" x14ac:dyDescent="0.35">
      <c r="A157">
        <v>101</v>
      </c>
      <c r="B157">
        <v>1.17587</v>
      </c>
      <c r="C157">
        <v>98</v>
      </c>
      <c r="D157">
        <v>1.169114</v>
      </c>
      <c r="E157">
        <v>83</v>
      </c>
      <c r="F157">
        <v>1.14991</v>
      </c>
      <c r="G157" s="17">
        <f t="shared" si="9"/>
        <v>0.40801900000000013</v>
      </c>
      <c r="H157" s="17">
        <f t="shared" si="8"/>
        <v>6688</v>
      </c>
      <c r="I157" s="17"/>
      <c r="J157" s="17"/>
      <c r="K157" s="17"/>
      <c r="L157" s="9"/>
      <c r="M157" s="9">
        <v>1.169114</v>
      </c>
      <c r="N157" s="9">
        <f t="shared" si="10"/>
        <v>0.41477500000000012</v>
      </c>
      <c r="O157" s="9">
        <v>1.14991</v>
      </c>
      <c r="P157" s="9">
        <f t="shared" si="11"/>
        <v>0.43397900000000011</v>
      </c>
    </row>
    <row r="158" spans="1:16" x14ac:dyDescent="0.35">
      <c r="A158">
        <v>100</v>
      </c>
      <c r="B158">
        <v>1.172588</v>
      </c>
      <c r="C158">
        <v>97</v>
      </c>
      <c r="D158">
        <v>1.1667350000000001</v>
      </c>
      <c r="E158">
        <v>82</v>
      </c>
      <c r="F158">
        <v>1.146757</v>
      </c>
      <c r="G158" s="17">
        <f t="shared" si="9"/>
        <v>0.41130100000000014</v>
      </c>
      <c r="H158" s="17">
        <f t="shared" si="8"/>
        <v>6742</v>
      </c>
      <c r="I158" s="17"/>
      <c r="J158" s="17"/>
      <c r="K158" s="17"/>
      <c r="L158" s="9"/>
      <c r="M158" s="9">
        <v>1.1667350000000001</v>
      </c>
      <c r="N158" s="9">
        <f t="shared" si="10"/>
        <v>0.41715400000000002</v>
      </c>
      <c r="O158" s="9">
        <v>1.146757</v>
      </c>
      <c r="P158" s="9">
        <f t="shared" si="11"/>
        <v>0.43713200000000008</v>
      </c>
    </row>
    <row r="159" spans="1:16" x14ac:dyDescent="0.35">
      <c r="A159">
        <v>99</v>
      </c>
      <c r="B159">
        <v>1.1699310000000001</v>
      </c>
      <c r="C159">
        <v>96</v>
      </c>
      <c r="D159">
        <v>1.1630910000000001</v>
      </c>
      <c r="E159">
        <v>81</v>
      </c>
      <c r="F159">
        <v>1.1431009999999999</v>
      </c>
      <c r="G159" s="17">
        <f t="shared" si="9"/>
        <v>0.41395800000000005</v>
      </c>
      <c r="H159" s="17">
        <f t="shared" si="8"/>
        <v>6786</v>
      </c>
      <c r="I159" s="17"/>
      <c r="J159" s="17"/>
      <c r="K159" s="17"/>
      <c r="L159" s="9"/>
      <c r="M159" s="9">
        <v>1.1630910000000001</v>
      </c>
      <c r="N159" s="9">
        <f t="shared" si="10"/>
        <v>0.42079800000000001</v>
      </c>
      <c r="O159" s="9">
        <v>1.1431009999999999</v>
      </c>
      <c r="P159" s="9">
        <f t="shared" si="11"/>
        <v>0.44078800000000018</v>
      </c>
    </row>
    <row r="160" spans="1:16" x14ac:dyDescent="0.35">
      <c r="A160">
        <v>98</v>
      </c>
      <c r="B160">
        <v>1.1667000000000001</v>
      </c>
      <c r="C160">
        <v>95</v>
      </c>
      <c r="D160">
        <v>1.1616899999999999</v>
      </c>
      <c r="E160">
        <v>80</v>
      </c>
      <c r="F160">
        <v>1.1396569999999999</v>
      </c>
      <c r="G160" s="17">
        <f t="shared" si="9"/>
        <v>0.41718900000000003</v>
      </c>
      <c r="H160" s="17">
        <f t="shared" si="8"/>
        <v>6839</v>
      </c>
      <c r="I160" s="17"/>
      <c r="J160" s="17"/>
      <c r="K160" s="17"/>
      <c r="L160" s="9"/>
      <c r="M160" s="9">
        <v>1.1616899999999999</v>
      </c>
      <c r="N160" s="9">
        <f t="shared" si="10"/>
        <v>0.42219900000000021</v>
      </c>
      <c r="O160" s="9">
        <v>1.1396569999999999</v>
      </c>
      <c r="P160" s="9">
        <f t="shared" si="11"/>
        <v>0.44423200000000018</v>
      </c>
    </row>
    <row r="161" spans="1:16" x14ac:dyDescent="0.35">
      <c r="A161">
        <v>97</v>
      </c>
      <c r="B161">
        <v>1.1646430000000001</v>
      </c>
      <c r="C161">
        <v>94</v>
      </c>
      <c r="D161">
        <v>1.1582209999999999</v>
      </c>
      <c r="E161">
        <v>79</v>
      </c>
      <c r="F161">
        <v>1.1357200000000001</v>
      </c>
      <c r="G161" s="17">
        <f t="shared" si="9"/>
        <v>0.41924600000000001</v>
      </c>
      <c r="H161" s="17">
        <f t="shared" si="8"/>
        <v>6872</v>
      </c>
      <c r="I161" s="17"/>
      <c r="J161" s="17"/>
      <c r="K161" s="17"/>
      <c r="L161" s="9"/>
      <c r="M161" s="9">
        <v>1.1582209999999999</v>
      </c>
      <c r="N161" s="9">
        <f t="shared" si="10"/>
        <v>0.42566800000000016</v>
      </c>
      <c r="O161" s="9">
        <v>1.1357200000000001</v>
      </c>
      <c r="P161" s="9">
        <f t="shared" si="11"/>
        <v>0.44816900000000004</v>
      </c>
    </row>
    <row r="162" spans="1:16" x14ac:dyDescent="0.35">
      <c r="A162">
        <v>96</v>
      </c>
      <c r="B162">
        <v>1.1616200000000001</v>
      </c>
      <c r="C162">
        <v>93</v>
      </c>
      <c r="D162">
        <v>1.1556090000000001</v>
      </c>
      <c r="E162">
        <v>78</v>
      </c>
      <c r="F162">
        <v>1.1323380000000001</v>
      </c>
      <c r="G162" s="17">
        <f t="shared" si="9"/>
        <v>0.42226900000000001</v>
      </c>
      <c r="H162" s="17">
        <f t="shared" si="8"/>
        <v>6922</v>
      </c>
      <c r="I162" s="17"/>
      <c r="J162" s="17"/>
      <c r="K162" s="17"/>
      <c r="L162" s="9"/>
      <c r="M162" s="9">
        <v>1.1556090000000001</v>
      </c>
      <c r="N162" s="9">
        <f t="shared" si="10"/>
        <v>0.42827999999999999</v>
      </c>
      <c r="O162" s="9">
        <v>1.1323380000000001</v>
      </c>
      <c r="P162" s="9">
        <f t="shared" si="11"/>
        <v>0.45155100000000004</v>
      </c>
    </row>
    <row r="163" spans="1:16" x14ac:dyDescent="0.35">
      <c r="A163">
        <v>95</v>
      </c>
      <c r="B163">
        <v>1.1555960000000001</v>
      </c>
      <c r="C163">
        <v>92</v>
      </c>
      <c r="D163">
        <v>1.1521189999999999</v>
      </c>
      <c r="E163">
        <v>77</v>
      </c>
      <c r="F163">
        <v>1.1287229999999999</v>
      </c>
      <c r="G163" s="17">
        <f t="shared" si="9"/>
        <v>0.42829300000000003</v>
      </c>
      <c r="H163" s="17">
        <f t="shared" si="8"/>
        <v>7021</v>
      </c>
      <c r="I163" s="17"/>
      <c r="J163" s="17"/>
      <c r="K163" s="17"/>
      <c r="L163" s="9"/>
      <c r="M163" s="9">
        <v>1.1521189999999999</v>
      </c>
      <c r="N163" s="9">
        <f t="shared" si="10"/>
        <v>0.43177000000000021</v>
      </c>
      <c r="O163" s="9">
        <v>1.1287229999999999</v>
      </c>
      <c r="P163" s="9">
        <f t="shared" si="11"/>
        <v>0.45516600000000018</v>
      </c>
    </row>
    <row r="164" spans="1:16" x14ac:dyDescent="0.35">
      <c r="A164">
        <v>94</v>
      </c>
      <c r="B164">
        <v>1.152428</v>
      </c>
      <c r="C164">
        <v>91</v>
      </c>
      <c r="D164">
        <v>1.1498740000000001</v>
      </c>
      <c r="E164">
        <v>76</v>
      </c>
      <c r="F164">
        <v>1.1255949999999999</v>
      </c>
      <c r="G164" s="17">
        <f t="shared" si="9"/>
        <v>0.43146100000000009</v>
      </c>
      <c r="H164" s="17">
        <f t="shared" si="8"/>
        <v>7073</v>
      </c>
      <c r="I164" s="17"/>
      <c r="J164" s="17"/>
      <c r="K164" s="17"/>
      <c r="L164" s="9"/>
      <c r="M164" s="9">
        <v>1.1498740000000001</v>
      </c>
      <c r="N164" s="9">
        <f t="shared" si="10"/>
        <v>0.43401500000000004</v>
      </c>
      <c r="O164" s="9">
        <v>1.1255949999999999</v>
      </c>
      <c r="P164" s="9">
        <f t="shared" si="11"/>
        <v>0.4582940000000002</v>
      </c>
    </row>
    <row r="165" spans="1:16" x14ac:dyDescent="0.35">
      <c r="A165">
        <v>93</v>
      </c>
      <c r="B165">
        <v>1.150433</v>
      </c>
      <c r="C165">
        <v>90</v>
      </c>
      <c r="D165">
        <v>1.1466190000000001</v>
      </c>
      <c r="E165">
        <v>75</v>
      </c>
      <c r="F165">
        <v>1.1230340000000001</v>
      </c>
      <c r="G165" s="17">
        <f t="shared" si="9"/>
        <v>0.43345600000000006</v>
      </c>
      <c r="H165" s="17">
        <f t="shared" si="8"/>
        <v>7105</v>
      </c>
      <c r="I165" s="17"/>
      <c r="J165" s="17"/>
      <c r="K165" s="17"/>
      <c r="L165" s="9"/>
      <c r="M165" s="9">
        <v>1.1466190000000001</v>
      </c>
      <c r="N165" s="9">
        <f t="shared" si="10"/>
        <v>0.43727000000000005</v>
      </c>
      <c r="O165" s="9">
        <v>1.1230340000000001</v>
      </c>
      <c r="P165" s="9">
        <f t="shared" si="11"/>
        <v>0.46085500000000001</v>
      </c>
    </row>
    <row r="166" spans="1:16" x14ac:dyDescent="0.35">
      <c r="A166">
        <v>92</v>
      </c>
      <c r="B166">
        <v>1.1469590000000001</v>
      </c>
      <c r="C166">
        <v>89</v>
      </c>
      <c r="D166">
        <v>1.1437679999999999</v>
      </c>
      <c r="E166">
        <v>74</v>
      </c>
      <c r="F166">
        <v>1.119794</v>
      </c>
      <c r="G166" s="17">
        <f t="shared" si="9"/>
        <v>0.43693000000000004</v>
      </c>
      <c r="H166" s="17">
        <f t="shared" si="8"/>
        <v>7162</v>
      </c>
      <c r="I166" s="17"/>
      <c r="J166" s="17"/>
      <c r="K166" s="17"/>
      <c r="L166" s="9"/>
      <c r="M166" s="9">
        <v>1.1437679999999999</v>
      </c>
      <c r="N166" s="9">
        <f t="shared" si="10"/>
        <v>0.44012100000000021</v>
      </c>
      <c r="O166" s="9">
        <v>1.119794</v>
      </c>
      <c r="P166" s="9">
        <f t="shared" si="11"/>
        <v>0.46409500000000015</v>
      </c>
    </row>
    <row r="167" spans="1:16" x14ac:dyDescent="0.35">
      <c r="A167">
        <v>91</v>
      </c>
      <c r="B167">
        <v>1.1446160000000001</v>
      </c>
      <c r="C167">
        <v>88</v>
      </c>
      <c r="D167">
        <v>1.140387</v>
      </c>
      <c r="E167">
        <v>73</v>
      </c>
      <c r="F167">
        <v>1.116214</v>
      </c>
      <c r="G167" s="17">
        <f t="shared" si="9"/>
        <v>0.43927300000000002</v>
      </c>
      <c r="H167" s="17">
        <f t="shared" si="8"/>
        <v>7201</v>
      </c>
      <c r="I167" s="17"/>
      <c r="J167" s="17"/>
      <c r="K167" s="17"/>
      <c r="L167" s="9"/>
      <c r="M167" s="9">
        <v>1.140387</v>
      </c>
      <c r="N167" s="9">
        <f t="shared" si="10"/>
        <v>0.44350200000000006</v>
      </c>
      <c r="O167" s="9">
        <v>1.116214</v>
      </c>
      <c r="P167" s="9">
        <f t="shared" si="11"/>
        <v>0.46767500000000006</v>
      </c>
    </row>
    <row r="168" spans="1:16" x14ac:dyDescent="0.35">
      <c r="A168">
        <v>90</v>
      </c>
      <c r="B168">
        <v>1.1412869999999999</v>
      </c>
      <c r="C168">
        <v>87</v>
      </c>
      <c r="D168">
        <v>1.1390750000000001</v>
      </c>
      <c r="E168">
        <v>72</v>
      </c>
      <c r="F168">
        <v>1.11293</v>
      </c>
      <c r="G168" s="17">
        <f t="shared" si="9"/>
        <v>0.44260200000000016</v>
      </c>
      <c r="H168" s="17">
        <f t="shared" si="8"/>
        <v>7255</v>
      </c>
      <c r="I168" s="17"/>
      <c r="J168" s="17"/>
      <c r="K168" s="17"/>
      <c r="L168" s="9"/>
      <c r="M168" s="9">
        <v>1.1390750000000001</v>
      </c>
      <c r="N168" s="9">
        <f t="shared" si="10"/>
        <v>0.44481400000000004</v>
      </c>
      <c r="O168" s="9">
        <v>1.11293</v>
      </c>
      <c r="P168" s="9">
        <f t="shared" si="11"/>
        <v>0.47095900000000013</v>
      </c>
    </row>
    <row r="169" spans="1:16" x14ac:dyDescent="0.35">
      <c r="A169">
        <v>89</v>
      </c>
      <c r="B169">
        <v>1.1392949999999999</v>
      </c>
      <c r="C169">
        <v>86</v>
      </c>
      <c r="D169">
        <v>1.1357219999999999</v>
      </c>
      <c r="E169">
        <v>71</v>
      </c>
      <c r="F169">
        <v>1.11164</v>
      </c>
      <c r="G169" s="17">
        <f t="shared" si="9"/>
        <v>0.44459400000000016</v>
      </c>
      <c r="H169" s="17">
        <f t="shared" si="8"/>
        <v>7288</v>
      </c>
      <c r="I169" s="17"/>
      <c r="J169" s="17"/>
      <c r="K169" s="17"/>
      <c r="L169" s="9"/>
      <c r="M169" s="9">
        <v>1.1357219999999999</v>
      </c>
      <c r="N169" s="9">
        <f t="shared" si="10"/>
        <v>0.4481670000000002</v>
      </c>
      <c r="O169" s="9">
        <v>1.11164</v>
      </c>
      <c r="P169" s="9">
        <f t="shared" si="11"/>
        <v>0.47224900000000014</v>
      </c>
    </row>
    <row r="170" spans="1:16" x14ac:dyDescent="0.35">
      <c r="A170">
        <v>88</v>
      </c>
      <c r="B170">
        <v>1.13588</v>
      </c>
      <c r="C170">
        <v>85</v>
      </c>
      <c r="D170">
        <v>1.1328670000000001</v>
      </c>
      <c r="E170">
        <v>70</v>
      </c>
      <c r="F170">
        <v>1.108414</v>
      </c>
      <c r="G170" s="17">
        <f t="shared" si="9"/>
        <v>0.4480090000000001</v>
      </c>
      <c r="H170" s="17">
        <f t="shared" si="8"/>
        <v>7344</v>
      </c>
      <c r="I170" s="17"/>
      <c r="J170" s="17"/>
      <c r="K170" s="17"/>
      <c r="L170" s="9"/>
      <c r="M170" s="9">
        <v>1.1328670000000001</v>
      </c>
      <c r="N170" s="9">
        <f t="shared" si="10"/>
        <v>0.45102200000000003</v>
      </c>
      <c r="O170" s="9">
        <v>1.108414</v>
      </c>
      <c r="P170" s="9">
        <f t="shared" si="11"/>
        <v>0.47547500000000009</v>
      </c>
    </row>
    <row r="171" spans="1:16" x14ac:dyDescent="0.35">
      <c r="A171">
        <v>87</v>
      </c>
      <c r="B171">
        <v>1.132531</v>
      </c>
      <c r="C171">
        <v>84</v>
      </c>
      <c r="D171">
        <v>1.1293820000000001</v>
      </c>
      <c r="E171">
        <v>69</v>
      </c>
      <c r="F171">
        <v>1.1047480000000001</v>
      </c>
      <c r="G171" s="17">
        <f t="shared" si="9"/>
        <v>0.45135800000000015</v>
      </c>
      <c r="H171" s="17">
        <f t="shared" si="8"/>
        <v>7399</v>
      </c>
      <c r="I171" s="17"/>
      <c r="J171" s="17"/>
      <c r="K171" s="17"/>
      <c r="L171" s="9"/>
      <c r="M171" s="9">
        <v>1.1293820000000001</v>
      </c>
      <c r="N171" s="9">
        <f t="shared" si="10"/>
        <v>0.45450699999999999</v>
      </c>
      <c r="O171" s="9">
        <v>1.1047480000000001</v>
      </c>
      <c r="P171" s="9">
        <f t="shared" si="11"/>
        <v>0.47914100000000004</v>
      </c>
    </row>
    <row r="172" spans="1:16" x14ac:dyDescent="0.35">
      <c r="A172">
        <v>86</v>
      </c>
      <c r="B172">
        <v>1.12934</v>
      </c>
      <c r="C172">
        <v>83</v>
      </c>
      <c r="D172">
        <v>1.1274489999999999</v>
      </c>
      <c r="E172">
        <v>68</v>
      </c>
      <c r="F172">
        <v>1.101661</v>
      </c>
      <c r="G172" s="17">
        <f t="shared" si="9"/>
        <v>0.45454900000000009</v>
      </c>
      <c r="H172" s="17">
        <f t="shared" si="8"/>
        <v>7451</v>
      </c>
      <c r="I172" s="17"/>
      <c r="J172" s="17"/>
      <c r="K172" s="17"/>
      <c r="L172" s="9"/>
      <c r="M172" s="9">
        <v>1.1274489999999999</v>
      </c>
      <c r="N172" s="9">
        <f t="shared" si="10"/>
        <v>0.45644000000000018</v>
      </c>
      <c r="O172" s="9">
        <v>1.101661</v>
      </c>
      <c r="P172" s="9">
        <f t="shared" si="11"/>
        <v>0.4822280000000001</v>
      </c>
    </row>
    <row r="173" spans="1:16" x14ac:dyDescent="0.35">
      <c r="A173">
        <v>85</v>
      </c>
      <c r="B173">
        <v>1.12734</v>
      </c>
      <c r="C173">
        <v>82</v>
      </c>
      <c r="D173">
        <v>1.12385</v>
      </c>
      <c r="E173">
        <v>67</v>
      </c>
      <c r="F173">
        <v>1.0989100000000001</v>
      </c>
      <c r="G173" s="17">
        <f t="shared" si="9"/>
        <v>0.45654900000000009</v>
      </c>
      <c r="H173" s="17">
        <f t="shared" si="8"/>
        <v>7484</v>
      </c>
      <c r="I173" s="17"/>
      <c r="J173" s="17"/>
      <c r="K173" s="17"/>
      <c r="L173" s="9"/>
      <c r="M173" s="9">
        <v>1.12385</v>
      </c>
      <c r="N173" s="9">
        <f t="shared" si="10"/>
        <v>0.46003900000000009</v>
      </c>
      <c r="O173" s="9">
        <v>1.0989100000000001</v>
      </c>
      <c r="P173" s="9">
        <f t="shared" si="11"/>
        <v>0.48497900000000005</v>
      </c>
    </row>
    <row r="174" spans="1:16" x14ac:dyDescent="0.35">
      <c r="A174">
        <v>84</v>
      </c>
      <c r="B174">
        <v>1.12409</v>
      </c>
      <c r="C174">
        <v>81</v>
      </c>
      <c r="D174">
        <v>1.1210690000000001</v>
      </c>
      <c r="E174">
        <v>66</v>
      </c>
      <c r="F174">
        <v>1.0956870000000001</v>
      </c>
      <c r="G174" s="17">
        <f t="shared" si="9"/>
        <v>0.45979900000000007</v>
      </c>
      <c r="H174" s="17">
        <f t="shared" si="8"/>
        <v>7537</v>
      </c>
      <c r="I174" s="17"/>
      <c r="J174" s="17"/>
      <c r="K174" s="17"/>
      <c r="L174" s="9"/>
      <c r="M174" s="9">
        <v>1.1210690000000001</v>
      </c>
      <c r="N174" s="9">
        <f t="shared" si="10"/>
        <v>0.46282000000000001</v>
      </c>
      <c r="O174" s="9">
        <v>1.0956870000000001</v>
      </c>
      <c r="P174" s="9">
        <f t="shared" si="11"/>
        <v>0.48820200000000002</v>
      </c>
    </row>
    <row r="175" spans="1:16" x14ac:dyDescent="0.35">
      <c r="A175">
        <v>83</v>
      </c>
      <c r="B175">
        <v>1.121356</v>
      </c>
      <c r="C175">
        <v>80</v>
      </c>
      <c r="D175">
        <v>1.1178889999999999</v>
      </c>
      <c r="E175">
        <v>65</v>
      </c>
      <c r="F175">
        <v>1.091971</v>
      </c>
      <c r="G175" s="17">
        <f t="shared" si="9"/>
        <v>0.46253300000000008</v>
      </c>
      <c r="H175" s="17">
        <f t="shared" si="8"/>
        <v>7582</v>
      </c>
      <c r="I175" s="17"/>
      <c r="J175" s="17"/>
      <c r="K175" s="17"/>
      <c r="L175" s="9"/>
      <c r="M175" s="9">
        <v>1.1178889999999999</v>
      </c>
      <c r="N175" s="9">
        <f t="shared" si="10"/>
        <v>0.46600000000000019</v>
      </c>
      <c r="O175" s="9">
        <v>1.091971</v>
      </c>
      <c r="P175" s="9">
        <f t="shared" si="11"/>
        <v>0.49191800000000008</v>
      </c>
    </row>
    <row r="176" spans="1:16" x14ac:dyDescent="0.35">
      <c r="A176">
        <v>82</v>
      </c>
      <c r="B176">
        <v>1.118117</v>
      </c>
      <c r="C176">
        <v>79</v>
      </c>
      <c r="D176">
        <v>1.1140060000000001</v>
      </c>
      <c r="E176">
        <v>64</v>
      </c>
      <c r="F176">
        <v>1.0888910000000001</v>
      </c>
      <c r="G176" s="17">
        <f t="shared" si="9"/>
        <v>0.46577200000000007</v>
      </c>
      <c r="H176" s="17">
        <f t="shared" si="8"/>
        <v>7635</v>
      </c>
      <c r="I176" s="17"/>
      <c r="J176" s="17"/>
      <c r="K176" s="17"/>
      <c r="L176" s="9"/>
      <c r="M176" s="9">
        <v>1.1140060000000001</v>
      </c>
      <c r="N176" s="9">
        <f t="shared" si="10"/>
        <v>0.46988300000000005</v>
      </c>
      <c r="O176" s="9">
        <v>1.0888910000000001</v>
      </c>
      <c r="P176" s="9">
        <f t="shared" si="11"/>
        <v>0.49499800000000005</v>
      </c>
    </row>
    <row r="177" spans="1:16" x14ac:dyDescent="0.35">
      <c r="A177">
        <v>81</v>
      </c>
      <c r="B177">
        <v>1.1161019999999999</v>
      </c>
      <c r="C177">
        <v>78</v>
      </c>
      <c r="D177">
        <v>1.110419</v>
      </c>
      <c r="E177">
        <v>63</v>
      </c>
      <c r="F177">
        <v>1.086792</v>
      </c>
      <c r="G177" s="17">
        <f t="shared" si="9"/>
        <v>0.46778700000000017</v>
      </c>
      <c r="H177" s="17">
        <f t="shared" si="8"/>
        <v>7668</v>
      </c>
      <c r="I177" s="17"/>
      <c r="J177" s="17"/>
      <c r="K177" s="17"/>
      <c r="L177" s="9"/>
      <c r="M177" s="9">
        <v>1.110419</v>
      </c>
      <c r="N177" s="9">
        <f t="shared" si="10"/>
        <v>0.47347000000000006</v>
      </c>
      <c r="O177" s="9">
        <v>1.086792</v>
      </c>
      <c r="P177" s="9">
        <f t="shared" si="11"/>
        <v>0.49709700000000012</v>
      </c>
    </row>
    <row r="178" spans="1:16" x14ac:dyDescent="0.35">
      <c r="A178">
        <v>80</v>
      </c>
      <c r="B178">
        <v>1.112962</v>
      </c>
      <c r="C178">
        <v>77</v>
      </c>
      <c r="D178">
        <v>1.1079220000000001</v>
      </c>
      <c r="E178">
        <v>62</v>
      </c>
      <c r="F178">
        <v>1.0833349999999999</v>
      </c>
      <c r="G178" s="17">
        <f t="shared" si="9"/>
        <v>0.4709270000000001</v>
      </c>
      <c r="H178" s="17">
        <f t="shared" si="8"/>
        <v>7720</v>
      </c>
      <c r="I178" s="17"/>
      <c r="J178" s="17"/>
      <c r="K178" s="17"/>
      <c r="L178" s="9"/>
      <c r="M178" s="9">
        <v>1.1079220000000001</v>
      </c>
      <c r="N178" s="9">
        <f t="shared" si="10"/>
        <v>0.47596700000000003</v>
      </c>
      <c r="O178" s="9">
        <v>1.0833349999999999</v>
      </c>
      <c r="P178" s="9">
        <f t="shared" si="11"/>
        <v>0.50055400000000017</v>
      </c>
    </row>
    <row r="179" spans="1:16" x14ac:dyDescent="0.35">
      <c r="A179">
        <v>79</v>
      </c>
      <c r="B179">
        <v>1.109237</v>
      </c>
      <c r="C179">
        <v>76</v>
      </c>
      <c r="D179">
        <v>1.1044229999999999</v>
      </c>
      <c r="E179">
        <v>61</v>
      </c>
      <c r="F179">
        <v>1.0796110000000001</v>
      </c>
      <c r="G179" s="17">
        <f t="shared" si="9"/>
        <v>0.47465200000000007</v>
      </c>
      <c r="H179" s="17">
        <f t="shared" si="8"/>
        <v>7781</v>
      </c>
      <c r="I179" s="17"/>
      <c r="J179" s="17"/>
      <c r="K179" s="17"/>
      <c r="L179" s="9"/>
      <c r="M179" s="9">
        <v>1.1044229999999999</v>
      </c>
      <c r="N179" s="9">
        <f t="shared" si="10"/>
        <v>0.47946600000000017</v>
      </c>
      <c r="O179" s="9">
        <v>1.0796110000000001</v>
      </c>
      <c r="P179" s="9">
        <f t="shared" si="11"/>
        <v>0.504278</v>
      </c>
    </row>
    <row r="180" spans="1:16" x14ac:dyDescent="0.35">
      <c r="A180">
        <v>78</v>
      </c>
      <c r="B180">
        <v>1.1058939999999999</v>
      </c>
      <c r="C180">
        <v>75</v>
      </c>
      <c r="D180">
        <v>1.102292</v>
      </c>
      <c r="E180">
        <v>60</v>
      </c>
      <c r="F180">
        <v>1.07656</v>
      </c>
      <c r="G180" s="17">
        <f t="shared" si="9"/>
        <v>0.47799500000000017</v>
      </c>
      <c r="H180" s="17">
        <f t="shared" si="8"/>
        <v>7835</v>
      </c>
      <c r="I180" s="17"/>
      <c r="J180" s="17"/>
      <c r="K180" s="17"/>
      <c r="L180" s="9"/>
      <c r="M180" s="9">
        <v>1.102292</v>
      </c>
      <c r="N180" s="9">
        <f t="shared" si="10"/>
        <v>0.48159700000000005</v>
      </c>
      <c r="O180" s="9">
        <v>1.07656</v>
      </c>
      <c r="P180" s="9">
        <f t="shared" si="11"/>
        <v>0.50732900000000014</v>
      </c>
    </row>
    <row r="181" spans="1:16" x14ac:dyDescent="0.35">
      <c r="A181">
        <v>77</v>
      </c>
      <c r="B181">
        <v>1.104061</v>
      </c>
      <c r="C181">
        <v>74</v>
      </c>
      <c r="D181">
        <v>1.0987640000000001</v>
      </c>
      <c r="E181">
        <v>59</v>
      </c>
      <c r="F181">
        <v>1.0741959999999999</v>
      </c>
      <c r="G181" s="17">
        <f t="shared" si="9"/>
        <v>0.47982800000000014</v>
      </c>
      <c r="H181" s="17">
        <f t="shared" si="8"/>
        <v>7866</v>
      </c>
      <c r="I181" s="17"/>
      <c r="J181" s="17"/>
      <c r="K181" s="17"/>
      <c r="L181" s="9"/>
      <c r="M181" s="9">
        <v>1.0987640000000001</v>
      </c>
      <c r="N181" s="9">
        <f t="shared" si="10"/>
        <v>0.48512500000000003</v>
      </c>
      <c r="O181" s="9">
        <v>1.0741959999999999</v>
      </c>
      <c r="P181" s="9">
        <f t="shared" si="11"/>
        <v>0.50969300000000017</v>
      </c>
    </row>
    <row r="182" spans="1:16" x14ac:dyDescent="0.35">
      <c r="A182">
        <v>76</v>
      </c>
      <c r="B182">
        <v>1.100727</v>
      </c>
      <c r="C182">
        <v>73</v>
      </c>
      <c r="D182">
        <v>1.096133</v>
      </c>
      <c r="E182">
        <v>58</v>
      </c>
      <c r="F182">
        <v>1.0706290000000001</v>
      </c>
      <c r="G182" s="17">
        <f t="shared" si="9"/>
        <v>0.48316200000000009</v>
      </c>
      <c r="H182" s="17">
        <f t="shared" si="8"/>
        <v>7920</v>
      </c>
      <c r="I182" s="17"/>
      <c r="J182" s="17"/>
      <c r="K182" s="17"/>
      <c r="L182" s="9"/>
      <c r="M182" s="9">
        <v>1.096133</v>
      </c>
      <c r="N182" s="9">
        <f t="shared" si="10"/>
        <v>0.48775600000000008</v>
      </c>
      <c r="O182" s="9">
        <v>1.0706290000000001</v>
      </c>
      <c r="P182" s="9">
        <f t="shared" si="11"/>
        <v>0.51326000000000005</v>
      </c>
    </row>
    <row r="183" spans="1:16" x14ac:dyDescent="0.35">
      <c r="A183">
        <v>75</v>
      </c>
      <c r="B183">
        <v>1.0980989999999999</v>
      </c>
      <c r="C183">
        <v>72</v>
      </c>
      <c r="D183">
        <v>1.092935</v>
      </c>
      <c r="E183">
        <v>57</v>
      </c>
      <c r="F183">
        <v>1.066981</v>
      </c>
      <c r="G183" s="17">
        <f t="shared" si="9"/>
        <v>0.48579000000000017</v>
      </c>
      <c r="H183" s="17">
        <f t="shared" si="8"/>
        <v>7963</v>
      </c>
      <c r="I183" s="17"/>
      <c r="J183" s="17"/>
      <c r="K183" s="17"/>
      <c r="L183" s="9"/>
      <c r="M183" s="9">
        <v>1.092935</v>
      </c>
      <c r="N183" s="9">
        <f t="shared" si="10"/>
        <v>0.49095400000000011</v>
      </c>
      <c r="O183" s="9">
        <v>1.066981</v>
      </c>
      <c r="P183" s="9">
        <f t="shared" si="11"/>
        <v>0.51690800000000015</v>
      </c>
    </row>
    <row r="184" spans="1:16" x14ac:dyDescent="0.35">
      <c r="A184">
        <v>74</v>
      </c>
      <c r="B184">
        <v>1.0947990000000001</v>
      </c>
      <c r="C184">
        <v>71</v>
      </c>
      <c r="D184">
        <v>1.0914489999999999</v>
      </c>
      <c r="E184">
        <v>56</v>
      </c>
      <c r="F184">
        <v>1.063841</v>
      </c>
      <c r="G184" s="17">
        <f t="shared" si="9"/>
        <v>0.48909000000000002</v>
      </c>
      <c r="H184" s="17">
        <f t="shared" si="8"/>
        <v>8017</v>
      </c>
      <c r="I184" s="17"/>
      <c r="J184" s="17"/>
      <c r="K184" s="17"/>
      <c r="L184" s="9"/>
      <c r="M184" s="9">
        <v>1.0914489999999999</v>
      </c>
      <c r="N184" s="9">
        <f t="shared" si="10"/>
        <v>0.49244000000000021</v>
      </c>
      <c r="O184" s="9">
        <v>1.063841</v>
      </c>
      <c r="P184" s="9">
        <f t="shared" si="11"/>
        <v>0.52004800000000007</v>
      </c>
    </row>
    <row r="185" spans="1:16" x14ac:dyDescent="0.35">
      <c r="A185">
        <v>73</v>
      </c>
      <c r="B185">
        <v>1.092832</v>
      </c>
      <c r="C185">
        <v>70</v>
      </c>
      <c r="D185">
        <v>1.087696</v>
      </c>
      <c r="E185">
        <v>55</v>
      </c>
      <c r="F185">
        <v>1.0624400000000001</v>
      </c>
      <c r="G185" s="17">
        <f t="shared" si="9"/>
        <v>0.49105700000000008</v>
      </c>
      <c r="H185" s="17">
        <f t="shared" si="8"/>
        <v>8050</v>
      </c>
      <c r="I185" s="17"/>
      <c r="J185" s="17"/>
      <c r="K185" s="17"/>
      <c r="L185" s="9"/>
      <c r="M185" s="9">
        <v>1.087696</v>
      </c>
      <c r="N185" s="9">
        <f t="shared" si="10"/>
        <v>0.49619300000000011</v>
      </c>
      <c r="O185" s="9">
        <v>1.0624400000000001</v>
      </c>
      <c r="P185" s="9">
        <f t="shared" si="11"/>
        <v>0.52144900000000005</v>
      </c>
    </row>
    <row r="186" spans="1:16" x14ac:dyDescent="0.35">
      <c r="A186">
        <v>72</v>
      </c>
      <c r="B186">
        <v>1.089496</v>
      </c>
      <c r="C186">
        <v>69</v>
      </c>
      <c r="D186">
        <v>1.0852349999999999</v>
      </c>
      <c r="E186">
        <v>54</v>
      </c>
      <c r="F186">
        <v>1.0590729999999999</v>
      </c>
      <c r="G186" s="17">
        <f t="shared" si="9"/>
        <v>0.49439300000000008</v>
      </c>
      <c r="H186" s="17">
        <f t="shared" si="8"/>
        <v>8104</v>
      </c>
      <c r="I186" s="17"/>
      <c r="J186" s="17"/>
      <c r="K186" s="17"/>
      <c r="L186" s="9"/>
      <c r="M186" s="9">
        <v>1.0852349999999999</v>
      </c>
      <c r="N186" s="9">
        <f t="shared" si="10"/>
        <v>0.49865400000000015</v>
      </c>
      <c r="O186" s="9">
        <v>1.0590729999999999</v>
      </c>
      <c r="P186" s="9">
        <f t="shared" si="11"/>
        <v>0.52481600000000017</v>
      </c>
    </row>
    <row r="187" spans="1:16" x14ac:dyDescent="0.35">
      <c r="A187">
        <v>71</v>
      </c>
      <c r="B187">
        <v>1.0858669999999999</v>
      </c>
      <c r="C187">
        <v>68</v>
      </c>
      <c r="D187">
        <v>1.081715</v>
      </c>
      <c r="E187">
        <v>53</v>
      </c>
      <c r="F187">
        <v>1.0553429999999999</v>
      </c>
      <c r="G187" s="17">
        <f t="shared" si="9"/>
        <v>0.49802200000000019</v>
      </c>
      <c r="H187" s="17">
        <f t="shared" si="8"/>
        <v>8164</v>
      </c>
      <c r="I187" s="17"/>
      <c r="J187" s="17"/>
      <c r="K187" s="17"/>
      <c r="L187" s="9"/>
      <c r="M187" s="9">
        <v>1.081715</v>
      </c>
      <c r="N187" s="9">
        <f t="shared" si="10"/>
        <v>0.50217400000000012</v>
      </c>
      <c r="O187" s="9">
        <v>1.0553429999999999</v>
      </c>
      <c r="P187" s="9">
        <f t="shared" si="11"/>
        <v>0.52854600000000018</v>
      </c>
    </row>
    <row r="188" spans="1:16" x14ac:dyDescent="0.35">
      <c r="A188">
        <v>70</v>
      </c>
      <c r="B188">
        <v>1.0829519999999999</v>
      </c>
      <c r="C188">
        <v>67</v>
      </c>
      <c r="D188">
        <v>1.0798920000000001</v>
      </c>
      <c r="E188">
        <v>52</v>
      </c>
      <c r="F188">
        <v>1.0521659999999999</v>
      </c>
      <c r="G188" s="17">
        <f t="shared" si="9"/>
        <v>0.50093700000000019</v>
      </c>
      <c r="H188" s="17">
        <f t="shared" si="8"/>
        <v>8212</v>
      </c>
      <c r="I188" s="17"/>
      <c r="J188" s="17"/>
      <c r="K188" s="17"/>
      <c r="L188" s="9"/>
      <c r="M188" s="9">
        <v>1.0798920000000001</v>
      </c>
      <c r="N188" s="9">
        <f t="shared" si="10"/>
        <v>0.50399700000000003</v>
      </c>
      <c r="O188" s="9">
        <v>1.0521659999999999</v>
      </c>
      <c r="P188" s="9">
        <f t="shared" si="11"/>
        <v>0.53172300000000017</v>
      </c>
    </row>
    <row r="189" spans="1:16" x14ac:dyDescent="0.35">
      <c r="A189">
        <v>69</v>
      </c>
      <c r="B189">
        <v>1.080638</v>
      </c>
      <c r="C189">
        <v>66</v>
      </c>
      <c r="D189">
        <v>1.076106</v>
      </c>
      <c r="E189">
        <v>51</v>
      </c>
      <c r="F189">
        <v>1.0495129999999999</v>
      </c>
      <c r="G189" s="17">
        <f t="shared" si="9"/>
        <v>0.50325100000000011</v>
      </c>
      <c r="H189" s="17">
        <f t="shared" si="8"/>
        <v>8250</v>
      </c>
      <c r="I189" s="17"/>
      <c r="J189" s="17"/>
      <c r="K189" s="17"/>
      <c r="L189" s="9"/>
      <c r="M189" s="9">
        <v>1.076106</v>
      </c>
      <c r="N189" s="9">
        <f t="shared" si="10"/>
        <v>0.5077830000000001</v>
      </c>
      <c r="O189" s="9">
        <v>1.0495129999999999</v>
      </c>
      <c r="P189" s="9">
        <f t="shared" si="11"/>
        <v>0.53437600000000018</v>
      </c>
    </row>
    <row r="190" spans="1:16" x14ac:dyDescent="0.35">
      <c r="A190">
        <v>68</v>
      </c>
      <c r="B190">
        <v>1.077437</v>
      </c>
      <c r="C190">
        <v>65</v>
      </c>
      <c r="D190">
        <v>1.0732299999999999</v>
      </c>
      <c r="E190">
        <v>50</v>
      </c>
      <c r="F190">
        <v>1.046184</v>
      </c>
      <c r="G190" s="17">
        <f t="shared" si="9"/>
        <v>0.50645200000000012</v>
      </c>
      <c r="H190" s="17">
        <f t="shared" si="8"/>
        <v>8302</v>
      </c>
      <c r="I190" s="17"/>
      <c r="J190" s="17"/>
      <c r="K190" s="17"/>
      <c r="L190" s="9"/>
      <c r="M190" s="9">
        <v>1.0732299999999999</v>
      </c>
      <c r="N190" s="9">
        <f t="shared" si="10"/>
        <v>0.5106590000000002</v>
      </c>
      <c r="O190" s="9">
        <v>1.046184</v>
      </c>
      <c r="P190" s="9">
        <f t="shared" si="11"/>
        <v>0.5377050000000001</v>
      </c>
    </row>
    <row r="191" spans="1:16" x14ac:dyDescent="0.35">
      <c r="A191">
        <v>67</v>
      </c>
      <c r="B191">
        <v>1.0747409999999999</v>
      </c>
      <c r="C191">
        <v>64</v>
      </c>
      <c r="D191">
        <v>1.06992</v>
      </c>
      <c r="E191">
        <v>49</v>
      </c>
      <c r="F191">
        <v>1.042392</v>
      </c>
      <c r="G191" s="17">
        <f t="shared" si="9"/>
        <v>0.50914800000000016</v>
      </c>
      <c r="H191" s="17">
        <f t="shared" si="8"/>
        <v>8346</v>
      </c>
      <c r="I191" s="17"/>
      <c r="J191" s="17"/>
      <c r="K191" s="17"/>
      <c r="L191" s="9"/>
      <c r="M191" s="9">
        <v>1.06992</v>
      </c>
      <c r="N191" s="9">
        <f t="shared" si="10"/>
        <v>0.51396900000000012</v>
      </c>
      <c r="O191" s="9">
        <v>1.042392</v>
      </c>
      <c r="P191" s="9">
        <f t="shared" si="11"/>
        <v>0.54149700000000012</v>
      </c>
    </row>
    <row r="192" spans="1:16" x14ac:dyDescent="0.35">
      <c r="A192">
        <v>66</v>
      </c>
      <c r="B192">
        <v>1.0716730000000001</v>
      </c>
      <c r="C192">
        <v>63</v>
      </c>
      <c r="D192">
        <v>1.071807</v>
      </c>
      <c r="E192">
        <v>48</v>
      </c>
      <c r="F192">
        <v>1.039202</v>
      </c>
      <c r="G192" s="17">
        <f t="shared" si="9"/>
        <v>0.512216</v>
      </c>
      <c r="H192" s="17">
        <f t="shared" si="8"/>
        <v>8396</v>
      </c>
      <c r="I192" s="17"/>
      <c r="J192" s="17"/>
      <c r="K192" s="17"/>
      <c r="L192" s="9"/>
      <c r="M192" s="9">
        <v>1.071807</v>
      </c>
      <c r="N192" s="9">
        <f t="shared" si="10"/>
        <v>0.51208200000000015</v>
      </c>
      <c r="O192" s="9">
        <v>1.039202</v>
      </c>
      <c r="P192" s="9">
        <f t="shared" si="11"/>
        <v>0.54468700000000014</v>
      </c>
    </row>
    <row r="193" spans="1:16" x14ac:dyDescent="0.35">
      <c r="A193">
        <v>65</v>
      </c>
      <c r="B193">
        <v>1.0697129999999999</v>
      </c>
      <c r="C193">
        <v>62</v>
      </c>
      <c r="D193">
        <v>1.068195</v>
      </c>
      <c r="E193">
        <v>47</v>
      </c>
      <c r="F193">
        <v>1.0348599999999999</v>
      </c>
      <c r="G193" s="17">
        <f t="shared" si="9"/>
        <v>0.51417600000000019</v>
      </c>
      <c r="H193" s="17">
        <f t="shared" si="8"/>
        <v>8429</v>
      </c>
      <c r="I193" s="17"/>
      <c r="J193" s="17"/>
      <c r="K193" s="17"/>
      <c r="L193" s="9"/>
      <c r="M193" s="9">
        <v>1.068195</v>
      </c>
      <c r="N193" s="9">
        <f t="shared" si="10"/>
        <v>0.5156940000000001</v>
      </c>
      <c r="O193" s="9">
        <v>1.0348599999999999</v>
      </c>
      <c r="P193" s="9">
        <f t="shared" si="11"/>
        <v>0.54902900000000021</v>
      </c>
    </row>
    <row r="194" spans="1:16" x14ac:dyDescent="0.35">
      <c r="A194">
        <v>64</v>
      </c>
      <c r="B194">
        <v>1.0663640000000001</v>
      </c>
      <c r="C194">
        <v>61</v>
      </c>
      <c r="D194">
        <v>1.065591</v>
      </c>
      <c r="E194">
        <v>46</v>
      </c>
      <c r="F194">
        <v>1.031755</v>
      </c>
      <c r="G194" s="17">
        <f t="shared" si="9"/>
        <v>0.51752500000000001</v>
      </c>
      <c r="H194" s="17">
        <f t="shared" si="8"/>
        <v>8484</v>
      </c>
      <c r="I194" s="17"/>
      <c r="J194" s="17"/>
      <c r="K194" s="17"/>
      <c r="L194" s="9"/>
      <c r="M194" s="9">
        <v>1.065591</v>
      </c>
      <c r="N194" s="9">
        <f t="shared" si="10"/>
        <v>0.51829800000000015</v>
      </c>
      <c r="O194" s="9">
        <v>1.031755</v>
      </c>
      <c r="P194" s="9">
        <f t="shared" si="11"/>
        <v>0.55213400000000012</v>
      </c>
    </row>
    <row r="195" spans="1:16" x14ac:dyDescent="0.35">
      <c r="A195">
        <v>63</v>
      </c>
      <c r="B195">
        <v>1.073655</v>
      </c>
      <c r="C195">
        <v>60</v>
      </c>
      <c r="D195">
        <v>1.0620529999999999</v>
      </c>
      <c r="E195">
        <v>45</v>
      </c>
      <c r="F195">
        <v>1.0280320000000001</v>
      </c>
      <c r="G195" s="17">
        <f t="shared" si="9"/>
        <v>0.51023400000000008</v>
      </c>
      <c r="H195" s="17">
        <f t="shared" si="8"/>
        <v>8364</v>
      </c>
      <c r="I195" s="17"/>
      <c r="J195" s="17"/>
      <c r="K195" s="17"/>
      <c r="L195" s="9"/>
      <c r="M195" s="9">
        <v>1.0620529999999999</v>
      </c>
      <c r="N195" s="9">
        <f t="shared" si="10"/>
        <v>0.52183600000000019</v>
      </c>
      <c r="O195" s="9">
        <v>1.0280320000000001</v>
      </c>
      <c r="P195" s="9">
        <f t="shared" si="11"/>
        <v>0.55585700000000005</v>
      </c>
    </row>
    <row r="196" spans="1:16" x14ac:dyDescent="0.35">
      <c r="A196">
        <v>62</v>
      </c>
      <c r="B196">
        <v>1.070165</v>
      </c>
      <c r="C196">
        <v>59</v>
      </c>
      <c r="D196">
        <v>1.059914</v>
      </c>
      <c r="E196">
        <v>44</v>
      </c>
      <c r="F196">
        <v>1.0246189999999999</v>
      </c>
      <c r="G196" s="17">
        <f t="shared" si="9"/>
        <v>0.51372400000000007</v>
      </c>
      <c r="H196" s="17">
        <f t="shared" si="8"/>
        <v>8421</v>
      </c>
      <c r="I196" s="17"/>
      <c r="J196" s="17"/>
      <c r="K196" s="17"/>
      <c r="L196" s="9"/>
      <c r="M196" s="9">
        <v>1.059914</v>
      </c>
      <c r="N196" s="9">
        <f t="shared" si="10"/>
        <v>0.52397500000000008</v>
      </c>
      <c r="O196" s="9">
        <v>1.0246189999999999</v>
      </c>
      <c r="P196" s="9">
        <f t="shared" si="11"/>
        <v>0.55927000000000016</v>
      </c>
    </row>
    <row r="197" spans="1:16" x14ac:dyDescent="0.35">
      <c r="A197">
        <v>61</v>
      </c>
      <c r="B197">
        <v>1.0682480000000001</v>
      </c>
      <c r="C197">
        <v>58</v>
      </c>
      <c r="D197">
        <v>1.0563389999999999</v>
      </c>
      <c r="E197">
        <v>43</v>
      </c>
      <c r="F197">
        <v>1.021933</v>
      </c>
      <c r="G197" s="17">
        <f t="shared" si="9"/>
        <v>0.51564100000000002</v>
      </c>
      <c r="H197" s="17">
        <f t="shared" ref="H197:H258" si="12">INT(G197/(6.1*10^(-5)))</f>
        <v>8453</v>
      </c>
      <c r="I197" s="17"/>
      <c r="J197" s="17"/>
      <c r="K197" s="17"/>
      <c r="L197" s="9"/>
      <c r="M197" s="9">
        <v>1.0563389999999999</v>
      </c>
      <c r="N197" s="9">
        <f t="shared" si="10"/>
        <v>0.52755000000000019</v>
      </c>
      <c r="O197" s="9">
        <v>1.021933</v>
      </c>
      <c r="P197" s="9">
        <f t="shared" si="11"/>
        <v>0.56195600000000012</v>
      </c>
    </row>
    <row r="198" spans="1:16" x14ac:dyDescent="0.35">
      <c r="A198">
        <v>60</v>
      </c>
      <c r="B198">
        <v>1.064897</v>
      </c>
      <c r="C198">
        <v>57</v>
      </c>
      <c r="D198">
        <v>1.053704</v>
      </c>
      <c r="E198">
        <v>42</v>
      </c>
      <c r="F198">
        <v>1.018751</v>
      </c>
      <c r="G198" s="17">
        <f t="shared" ref="G198:G258" si="13">G197+(B197-B198)</f>
        <v>0.51899200000000012</v>
      </c>
      <c r="H198" s="17">
        <f t="shared" si="12"/>
        <v>8508</v>
      </c>
      <c r="I198" s="17"/>
      <c r="J198" s="17"/>
      <c r="K198" s="17"/>
      <c r="L198" s="9"/>
      <c r="M198" s="9">
        <v>1.053704</v>
      </c>
      <c r="N198" s="9">
        <f t="shared" ref="N198:N258" si="14">N197+(M197-M198)</f>
        <v>0.53018500000000013</v>
      </c>
      <c r="O198" s="9">
        <v>1.018751</v>
      </c>
      <c r="P198" s="9">
        <f t="shared" ref="P198:P251" si="15">P197+(O197-O198)</f>
        <v>0.56513800000000014</v>
      </c>
    </row>
    <row r="199" spans="1:16" x14ac:dyDescent="0.35">
      <c r="A199">
        <v>59</v>
      </c>
      <c r="B199">
        <v>1.0623549999999999</v>
      </c>
      <c r="C199">
        <v>56</v>
      </c>
      <c r="D199">
        <v>1.0501560000000001</v>
      </c>
      <c r="E199">
        <v>41</v>
      </c>
      <c r="F199">
        <v>1.0151129999999999</v>
      </c>
      <c r="G199" s="17">
        <f t="shared" si="13"/>
        <v>0.52153400000000016</v>
      </c>
      <c r="H199" s="17">
        <f t="shared" si="12"/>
        <v>8549</v>
      </c>
      <c r="I199" s="17"/>
      <c r="J199" s="17"/>
      <c r="K199" s="17"/>
      <c r="L199" s="9"/>
      <c r="M199" s="9">
        <v>1.0501560000000001</v>
      </c>
      <c r="N199" s="9">
        <f t="shared" si="14"/>
        <v>0.53373300000000001</v>
      </c>
      <c r="O199" s="9">
        <v>1.0151129999999999</v>
      </c>
      <c r="P199" s="9">
        <f t="shared" si="15"/>
        <v>0.56877600000000017</v>
      </c>
    </row>
    <row r="200" spans="1:16" x14ac:dyDescent="0.35">
      <c r="A200">
        <v>58</v>
      </c>
      <c r="B200">
        <v>1.0589</v>
      </c>
      <c r="C200">
        <v>55</v>
      </c>
      <c r="D200">
        <v>1.0488120000000001</v>
      </c>
      <c r="E200">
        <v>40</v>
      </c>
      <c r="F200">
        <v>1.011822</v>
      </c>
      <c r="G200" s="17">
        <f t="shared" si="13"/>
        <v>0.52498900000000015</v>
      </c>
      <c r="H200" s="17">
        <f t="shared" si="12"/>
        <v>8606</v>
      </c>
      <c r="I200" s="17"/>
      <c r="J200" s="17"/>
      <c r="K200" s="17"/>
      <c r="L200" s="9"/>
      <c r="M200" s="9">
        <v>1.0488120000000001</v>
      </c>
      <c r="N200" s="9">
        <f t="shared" si="14"/>
        <v>0.53507700000000002</v>
      </c>
      <c r="O200" s="9">
        <v>1.011822</v>
      </c>
      <c r="P200" s="9">
        <f t="shared" si="15"/>
        <v>0.5720670000000001</v>
      </c>
    </row>
    <row r="201" spans="1:16" x14ac:dyDescent="0.35">
      <c r="A201">
        <v>57</v>
      </c>
      <c r="B201">
        <v>1.0570010000000001</v>
      </c>
      <c r="C201">
        <v>54</v>
      </c>
      <c r="D201">
        <v>1.0451999999999999</v>
      </c>
      <c r="E201">
        <v>39</v>
      </c>
      <c r="F201">
        <v>1.0102530000000001</v>
      </c>
      <c r="G201" s="17">
        <f t="shared" si="13"/>
        <v>0.52688800000000002</v>
      </c>
      <c r="H201" s="17">
        <f t="shared" si="12"/>
        <v>8637</v>
      </c>
      <c r="I201" s="17"/>
      <c r="J201" s="17"/>
      <c r="K201" s="17"/>
      <c r="L201" s="9"/>
      <c r="M201" s="9">
        <v>1.0451999999999999</v>
      </c>
      <c r="N201" s="9">
        <f t="shared" si="14"/>
        <v>0.5386890000000002</v>
      </c>
      <c r="O201" s="9">
        <v>1.0102530000000001</v>
      </c>
      <c r="P201" s="9">
        <f t="shared" si="15"/>
        <v>0.57363600000000003</v>
      </c>
    </row>
    <row r="202" spans="1:16" x14ac:dyDescent="0.35">
      <c r="A202">
        <v>56</v>
      </c>
      <c r="B202">
        <v>1.053633</v>
      </c>
      <c r="C202">
        <v>53</v>
      </c>
      <c r="D202">
        <v>1.042699</v>
      </c>
      <c r="E202">
        <v>38</v>
      </c>
      <c r="F202">
        <v>1.0070250000000001</v>
      </c>
      <c r="G202" s="17">
        <f t="shared" si="13"/>
        <v>0.53025600000000006</v>
      </c>
      <c r="H202" s="17">
        <f t="shared" si="12"/>
        <v>8692</v>
      </c>
      <c r="I202" s="17"/>
      <c r="J202" s="17"/>
      <c r="K202" s="17"/>
      <c r="L202" s="9"/>
      <c r="M202" s="9">
        <v>1.042699</v>
      </c>
      <c r="N202" s="9">
        <f t="shared" si="14"/>
        <v>0.54119000000000006</v>
      </c>
      <c r="O202" s="9">
        <v>1.0070250000000001</v>
      </c>
      <c r="P202" s="9">
        <f t="shared" si="15"/>
        <v>0.57686400000000004</v>
      </c>
    </row>
    <row r="203" spans="1:16" x14ac:dyDescent="0.35">
      <c r="A203">
        <v>55</v>
      </c>
      <c r="B203">
        <v>1.0500100000000001</v>
      </c>
      <c r="C203">
        <v>52</v>
      </c>
      <c r="D203">
        <v>1.03894</v>
      </c>
      <c r="E203">
        <v>37</v>
      </c>
      <c r="F203">
        <v>1.0035989999999999</v>
      </c>
      <c r="G203" s="17">
        <f t="shared" si="13"/>
        <v>0.53387899999999999</v>
      </c>
      <c r="H203" s="17">
        <f t="shared" si="12"/>
        <v>8752</v>
      </c>
      <c r="I203" s="17"/>
      <c r="J203" s="17"/>
      <c r="K203" s="17"/>
      <c r="L203" s="9"/>
      <c r="M203" s="9">
        <v>1.03894</v>
      </c>
      <c r="N203" s="9">
        <f t="shared" si="14"/>
        <v>0.54494900000000013</v>
      </c>
      <c r="O203" s="9">
        <v>1.0035989999999999</v>
      </c>
      <c r="P203" s="9">
        <f t="shared" si="15"/>
        <v>0.58029000000000019</v>
      </c>
    </row>
    <row r="204" spans="1:16" x14ac:dyDescent="0.35">
      <c r="A204">
        <v>54</v>
      </c>
      <c r="B204">
        <v>1.0466230000000001</v>
      </c>
      <c r="C204">
        <v>51</v>
      </c>
      <c r="D204">
        <v>1.036848</v>
      </c>
      <c r="E204">
        <v>36</v>
      </c>
      <c r="F204">
        <v>1.0001260000000001</v>
      </c>
      <c r="G204" s="17">
        <f t="shared" si="13"/>
        <v>0.53726600000000002</v>
      </c>
      <c r="H204" s="17">
        <f t="shared" si="12"/>
        <v>8807</v>
      </c>
      <c r="I204" s="17"/>
      <c r="J204" s="17"/>
      <c r="K204" s="17"/>
      <c r="L204" s="9"/>
      <c r="M204" s="9">
        <v>1.036848</v>
      </c>
      <c r="N204" s="9">
        <f t="shared" si="14"/>
        <v>0.54704100000000011</v>
      </c>
      <c r="O204" s="9">
        <v>1.0001260000000001</v>
      </c>
      <c r="P204" s="9">
        <f t="shared" si="15"/>
        <v>0.58376300000000003</v>
      </c>
    </row>
    <row r="205" spans="1:16" x14ac:dyDescent="0.35">
      <c r="A205">
        <v>53</v>
      </c>
      <c r="B205">
        <v>1.0448200000000001</v>
      </c>
      <c r="C205">
        <v>50</v>
      </c>
      <c r="D205">
        <v>1.0334110000000001</v>
      </c>
      <c r="E205">
        <v>35</v>
      </c>
      <c r="F205">
        <v>0.99721000000000004</v>
      </c>
      <c r="G205" s="17">
        <f t="shared" si="13"/>
        <v>0.53906900000000002</v>
      </c>
      <c r="H205" s="17">
        <f t="shared" si="12"/>
        <v>8837</v>
      </c>
      <c r="I205" s="17"/>
      <c r="J205" s="17"/>
      <c r="K205" s="17"/>
      <c r="L205" s="9"/>
      <c r="M205" s="9">
        <v>1.0334110000000001</v>
      </c>
      <c r="N205" s="9">
        <f t="shared" si="14"/>
        <v>0.55047800000000002</v>
      </c>
      <c r="O205" s="9">
        <v>0.99721000000000004</v>
      </c>
      <c r="P205" s="9">
        <f t="shared" si="15"/>
        <v>0.58667900000000006</v>
      </c>
    </row>
    <row r="206" spans="1:16" x14ac:dyDescent="0.35">
      <c r="A206">
        <v>52</v>
      </c>
      <c r="B206">
        <v>1.041631</v>
      </c>
      <c r="C206">
        <v>49</v>
      </c>
      <c r="D206">
        <v>1.0307599999999999</v>
      </c>
      <c r="E206">
        <v>34</v>
      </c>
      <c r="F206">
        <v>0.99400200000000005</v>
      </c>
      <c r="G206" s="17">
        <f t="shared" si="13"/>
        <v>0.54225800000000013</v>
      </c>
      <c r="H206" s="17">
        <f t="shared" si="12"/>
        <v>8889</v>
      </c>
      <c r="I206" s="17"/>
      <c r="J206" s="17"/>
      <c r="K206" s="17"/>
      <c r="L206" s="9"/>
      <c r="M206" s="9">
        <v>1.0307599999999999</v>
      </c>
      <c r="N206" s="9">
        <f t="shared" si="14"/>
        <v>0.5531290000000002</v>
      </c>
      <c r="O206" s="9">
        <v>0.99400200000000005</v>
      </c>
      <c r="P206" s="9">
        <f t="shared" si="15"/>
        <v>0.58988700000000005</v>
      </c>
    </row>
    <row r="207" spans="1:16" x14ac:dyDescent="0.35">
      <c r="A207">
        <v>51</v>
      </c>
      <c r="B207">
        <v>1.0387710000000001</v>
      </c>
      <c r="C207">
        <v>48</v>
      </c>
      <c r="D207">
        <v>1.0272349999999999</v>
      </c>
      <c r="E207">
        <v>33</v>
      </c>
      <c r="F207">
        <v>0.99044299999999996</v>
      </c>
      <c r="G207" s="17">
        <f t="shared" si="13"/>
        <v>0.54511799999999999</v>
      </c>
      <c r="H207" s="17">
        <f t="shared" si="12"/>
        <v>8936</v>
      </c>
      <c r="I207" s="17"/>
      <c r="J207" s="17"/>
      <c r="K207" s="17"/>
      <c r="L207" s="9"/>
      <c r="M207" s="9">
        <v>1.0272349999999999</v>
      </c>
      <c r="N207" s="9">
        <f t="shared" si="14"/>
        <v>0.5566540000000002</v>
      </c>
      <c r="O207" s="9">
        <v>0.99044299999999996</v>
      </c>
      <c r="P207" s="9">
        <f t="shared" si="15"/>
        <v>0.59344600000000014</v>
      </c>
    </row>
    <row r="208" spans="1:16" x14ac:dyDescent="0.35">
      <c r="A208">
        <v>50</v>
      </c>
      <c r="B208">
        <v>1.0355270000000001</v>
      </c>
      <c r="C208">
        <v>47</v>
      </c>
      <c r="D208">
        <v>1.023571</v>
      </c>
      <c r="E208">
        <v>32</v>
      </c>
      <c r="F208">
        <v>0.98691499999999999</v>
      </c>
      <c r="G208" s="17">
        <f t="shared" si="13"/>
        <v>0.54836200000000002</v>
      </c>
      <c r="H208" s="17">
        <f t="shared" si="12"/>
        <v>8989</v>
      </c>
      <c r="I208" s="17"/>
      <c r="J208" s="17"/>
      <c r="K208" s="17"/>
      <c r="L208" s="9"/>
      <c r="M208" s="9">
        <v>1.023571</v>
      </c>
      <c r="N208" s="9">
        <f t="shared" si="14"/>
        <v>0.56031800000000009</v>
      </c>
      <c r="O208" s="9">
        <v>0.98691499999999999</v>
      </c>
      <c r="P208" s="9">
        <f t="shared" si="15"/>
        <v>0.59697400000000012</v>
      </c>
    </row>
    <row r="209" spans="1:16" x14ac:dyDescent="0.35">
      <c r="A209">
        <v>49</v>
      </c>
      <c r="B209">
        <v>1.033385</v>
      </c>
      <c r="C209">
        <v>46</v>
      </c>
      <c r="D209">
        <v>1.0199389999999999</v>
      </c>
      <c r="E209">
        <v>31</v>
      </c>
      <c r="F209">
        <v>0.98604800000000004</v>
      </c>
      <c r="G209" s="17">
        <f t="shared" si="13"/>
        <v>0.5505040000000001</v>
      </c>
      <c r="H209" s="17">
        <f t="shared" si="12"/>
        <v>9024</v>
      </c>
      <c r="I209" s="17"/>
      <c r="J209" s="17"/>
      <c r="K209" s="17"/>
      <c r="L209" s="9"/>
      <c r="M209" s="9">
        <v>1.0199389999999999</v>
      </c>
      <c r="N209" s="9">
        <f t="shared" si="14"/>
        <v>0.56395000000000017</v>
      </c>
      <c r="O209" s="9">
        <v>0.98604800000000004</v>
      </c>
      <c r="P209" s="9">
        <f t="shared" si="15"/>
        <v>0.59784100000000007</v>
      </c>
    </row>
    <row r="210" spans="1:16" x14ac:dyDescent="0.35">
      <c r="A210">
        <v>48</v>
      </c>
      <c r="B210">
        <v>1.029936</v>
      </c>
      <c r="C210">
        <v>45</v>
      </c>
      <c r="D210">
        <v>1.017355</v>
      </c>
      <c r="E210">
        <v>30</v>
      </c>
      <c r="F210">
        <v>0.98268999999999995</v>
      </c>
      <c r="G210" s="17">
        <f t="shared" si="13"/>
        <v>0.55395300000000014</v>
      </c>
      <c r="H210" s="17">
        <f t="shared" si="12"/>
        <v>9081</v>
      </c>
      <c r="I210" s="17"/>
      <c r="J210" s="17"/>
      <c r="K210" s="17"/>
      <c r="L210" s="9"/>
      <c r="M210" s="9">
        <v>1.017355</v>
      </c>
      <c r="N210" s="9">
        <f t="shared" si="14"/>
        <v>0.56653400000000009</v>
      </c>
      <c r="O210" s="9">
        <v>0.98268999999999995</v>
      </c>
      <c r="P210" s="9">
        <f t="shared" si="15"/>
        <v>0.60119900000000015</v>
      </c>
    </row>
    <row r="211" spans="1:16" x14ac:dyDescent="0.35">
      <c r="A211">
        <v>47</v>
      </c>
      <c r="B211">
        <v>1.0265629999999999</v>
      </c>
      <c r="C211">
        <v>44</v>
      </c>
      <c r="D211">
        <v>1.0137020000000001</v>
      </c>
      <c r="E211">
        <v>29</v>
      </c>
      <c r="F211">
        <v>0.97889000000000004</v>
      </c>
      <c r="G211" s="17">
        <f t="shared" si="13"/>
        <v>0.55732600000000021</v>
      </c>
      <c r="H211" s="17">
        <f t="shared" si="12"/>
        <v>9136</v>
      </c>
      <c r="I211" s="17"/>
      <c r="J211" s="17"/>
      <c r="K211" s="17"/>
      <c r="L211" s="9"/>
      <c r="M211" s="9">
        <v>1.0137020000000001</v>
      </c>
      <c r="N211" s="9">
        <f t="shared" si="14"/>
        <v>0.570187</v>
      </c>
      <c r="O211" s="9">
        <v>0.97889000000000004</v>
      </c>
      <c r="P211" s="9">
        <f t="shared" si="15"/>
        <v>0.60499900000000006</v>
      </c>
    </row>
    <row r="212" spans="1:16" x14ac:dyDescent="0.35">
      <c r="A212">
        <v>46</v>
      </c>
      <c r="B212">
        <v>1.0228200000000001</v>
      </c>
      <c r="C212">
        <v>43</v>
      </c>
      <c r="D212">
        <v>1.0116309999999999</v>
      </c>
      <c r="E212">
        <v>28</v>
      </c>
      <c r="F212">
        <v>0.975553</v>
      </c>
      <c r="G212" s="17">
        <f t="shared" si="13"/>
        <v>0.56106900000000004</v>
      </c>
      <c r="H212" s="17">
        <f t="shared" si="12"/>
        <v>9197</v>
      </c>
      <c r="I212" s="17"/>
      <c r="J212" s="17"/>
      <c r="K212" s="17"/>
      <c r="L212" s="9"/>
      <c r="M212" s="9">
        <v>1.0116309999999999</v>
      </c>
      <c r="N212" s="9">
        <f t="shared" si="14"/>
        <v>0.57225800000000016</v>
      </c>
      <c r="O212" s="9">
        <v>0.975553</v>
      </c>
      <c r="P212" s="9">
        <f t="shared" si="15"/>
        <v>0.6083360000000001</v>
      </c>
    </row>
    <row r="213" spans="1:16" x14ac:dyDescent="0.35">
      <c r="A213">
        <v>45</v>
      </c>
      <c r="B213">
        <v>1.020759</v>
      </c>
      <c r="C213">
        <v>42</v>
      </c>
      <c r="D213">
        <v>1.008087</v>
      </c>
      <c r="E213">
        <v>27</v>
      </c>
      <c r="F213">
        <v>0.97290299999999996</v>
      </c>
      <c r="G213" s="17">
        <f t="shared" si="13"/>
        <v>0.56313000000000013</v>
      </c>
      <c r="H213" s="17">
        <f t="shared" si="12"/>
        <v>9231</v>
      </c>
      <c r="I213" s="17"/>
      <c r="J213" s="17"/>
      <c r="K213" s="17"/>
      <c r="L213" s="9"/>
      <c r="M213" s="9">
        <v>1.008087</v>
      </c>
      <c r="N213" s="9">
        <f t="shared" si="14"/>
        <v>0.57580200000000015</v>
      </c>
      <c r="O213" s="9">
        <v>0.97290299999999996</v>
      </c>
      <c r="P213" s="9">
        <f t="shared" si="15"/>
        <v>0.61098600000000014</v>
      </c>
    </row>
    <row r="214" spans="1:16" x14ac:dyDescent="0.35">
      <c r="A214">
        <v>44</v>
      </c>
      <c r="B214">
        <v>1.0174810000000001</v>
      </c>
      <c r="C214">
        <v>41</v>
      </c>
      <c r="D214">
        <v>1.00535</v>
      </c>
      <c r="E214">
        <v>26</v>
      </c>
      <c r="F214">
        <v>0.969553</v>
      </c>
      <c r="G214" s="17">
        <f t="shared" si="13"/>
        <v>0.56640800000000002</v>
      </c>
      <c r="H214" s="17">
        <f t="shared" si="12"/>
        <v>9285</v>
      </c>
      <c r="I214" s="17"/>
      <c r="J214" s="17"/>
      <c r="K214" s="17"/>
      <c r="L214" s="9"/>
      <c r="M214" s="9">
        <v>1.00535</v>
      </c>
      <c r="N214" s="9">
        <f t="shared" si="14"/>
        <v>0.57853900000000014</v>
      </c>
      <c r="O214" s="9">
        <v>0.969553</v>
      </c>
      <c r="P214" s="9">
        <f t="shared" si="15"/>
        <v>0.6143360000000001</v>
      </c>
    </row>
    <row r="215" spans="1:16" x14ac:dyDescent="0.35">
      <c r="A215">
        <v>43</v>
      </c>
      <c r="B215">
        <v>1.0148060000000001</v>
      </c>
      <c r="C215">
        <v>40</v>
      </c>
      <c r="D215">
        <v>1.0016130000000001</v>
      </c>
      <c r="E215">
        <v>25</v>
      </c>
      <c r="F215">
        <v>0.96592199999999995</v>
      </c>
      <c r="G215" s="17">
        <f t="shared" si="13"/>
        <v>0.56908300000000001</v>
      </c>
      <c r="H215" s="17">
        <f t="shared" si="12"/>
        <v>9329</v>
      </c>
      <c r="I215" s="17"/>
      <c r="J215" s="17"/>
      <c r="K215" s="17"/>
      <c r="L215" s="9"/>
      <c r="M215" s="9">
        <v>1.0016130000000001</v>
      </c>
      <c r="N215" s="9">
        <f t="shared" si="14"/>
        <v>0.58227600000000002</v>
      </c>
      <c r="O215" s="9">
        <v>0.96592199999999995</v>
      </c>
      <c r="P215" s="9">
        <f t="shared" si="15"/>
        <v>0.61796700000000016</v>
      </c>
    </row>
    <row r="216" spans="1:16" x14ac:dyDescent="0.35">
      <c r="A216">
        <v>42</v>
      </c>
      <c r="B216">
        <v>1.0114650000000001</v>
      </c>
      <c r="C216">
        <v>39</v>
      </c>
      <c r="D216">
        <v>1.0004169999999999</v>
      </c>
      <c r="E216">
        <v>24</v>
      </c>
      <c r="F216">
        <v>0.962619</v>
      </c>
      <c r="G216" s="17">
        <f t="shared" si="13"/>
        <v>0.57242400000000004</v>
      </c>
      <c r="H216" s="17">
        <f t="shared" si="12"/>
        <v>9384</v>
      </c>
      <c r="I216" s="17"/>
      <c r="J216" s="17"/>
      <c r="K216" s="17"/>
      <c r="L216" s="9"/>
      <c r="M216" s="9">
        <v>1.0004169999999999</v>
      </c>
      <c r="N216" s="9">
        <f t="shared" si="14"/>
        <v>0.58347200000000021</v>
      </c>
      <c r="O216" s="9">
        <v>0.962619</v>
      </c>
      <c r="P216" s="9">
        <f t="shared" si="15"/>
        <v>0.6212700000000001</v>
      </c>
    </row>
    <row r="217" spans="1:16" x14ac:dyDescent="0.35">
      <c r="A217">
        <v>41</v>
      </c>
      <c r="B217">
        <v>1.0094350000000001</v>
      </c>
      <c r="C217">
        <v>38</v>
      </c>
      <c r="D217">
        <v>0.99676399999999998</v>
      </c>
      <c r="E217">
        <v>23</v>
      </c>
      <c r="F217">
        <v>0.96102500000000002</v>
      </c>
      <c r="G217" s="17">
        <f t="shared" si="13"/>
        <v>0.57445400000000002</v>
      </c>
      <c r="H217" s="17">
        <f t="shared" si="12"/>
        <v>9417</v>
      </c>
      <c r="I217" s="17"/>
      <c r="J217" s="17"/>
      <c r="K217" s="17"/>
      <c r="L217" s="9"/>
      <c r="M217" s="9">
        <v>0.99676399999999998</v>
      </c>
      <c r="N217" s="9">
        <f t="shared" si="14"/>
        <v>0.58712500000000012</v>
      </c>
      <c r="O217" s="9">
        <v>0.96102500000000002</v>
      </c>
      <c r="P217" s="9">
        <f t="shared" si="15"/>
        <v>0.62286400000000008</v>
      </c>
    </row>
    <row r="218" spans="1:16" x14ac:dyDescent="0.35">
      <c r="A218">
        <v>40</v>
      </c>
      <c r="B218">
        <v>1.0060979999999999</v>
      </c>
      <c r="C218">
        <v>37</v>
      </c>
      <c r="D218">
        <v>0.99395500000000003</v>
      </c>
      <c r="E218">
        <v>22</v>
      </c>
      <c r="F218">
        <v>0.95791099999999996</v>
      </c>
      <c r="G218" s="17">
        <f t="shared" si="13"/>
        <v>0.57779100000000017</v>
      </c>
      <c r="H218" s="17">
        <f t="shared" si="12"/>
        <v>9471</v>
      </c>
      <c r="I218" s="17"/>
      <c r="J218" s="17"/>
      <c r="K218" s="17"/>
      <c r="L218" s="9"/>
      <c r="M218" s="9">
        <v>0.99395500000000003</v>
      </c>
      <c r="N218" s="9">
        <f t="shared" si="14"/>
        <v>0.58993400000000007</v>
      </c>
      <c r="O218" s="9">
        <v>0.95791099999999996</v>
      </c>
      <c r="P218" s="9">
        <f t="shared" si="15"/>
        <v>0.62597800000000015</v>
      </c>
    </row>
    <row r="219" spans="1:16" x14ac:dyDescent="0.35">
      <c r="A219">
        <v>39</v>
      </c>
      <c r="B219">
        <v>1.002596</v>
      </c>
      <c r="C219">
        <v>36</v>
      </c>
      <c r="D219">
        <v>0.99034800000000001</v>
      </c>
      <c r="E219">
        <v>21</v>
      </c>
      <c r="F219">
        <v>0.95392999999999994</v>
      </c>
      <c r="G219" s="17">
        <f t="shared" si="13"/>
        <v>0.58129300000000006</v>
      </c>
      <c r="H219" s="17">
        <f t="shared" si="12"/>
        <v>9529</v>
      </c>
      <c r="I219" s="17"/>
      <c r="J219" s="17"/>
      <c r="K219" s="17"/>
      <c r="L219" s="9"/>
      <c r="M219" s="9">
        <v>0.99034800000000001</v>
      </c>
      <c r="N219" s="9">
        <f t="shared" si="14"/>
        <v>0.5935410000000001</v>
      </c>
      <c r="O219" s="9">
        <v>0.95392999999999994</v>
      </c>
      <c r="P219" s="9">
        <f t="shared" si="15"/>
        <v>0.62995900000000016</v>
      </c>
    </row>
    <row r="220" spans="1:16" x14ac:dyDescent="0.35">
      <c r="A220">
        <v>38</v>
      </c>
      <c r="B220">
        <v>0.99943499999999996</v>
      </c>
      <c r="C220">
        <v>35</v>
      </c>
      <c r="D220">
        <v>0.98848199999999997</v>
      </c>
      <c r="E220">
        <v>20</v>
      </c>
      <c r="F220">
        <v>0.95074000000000003</v>
      </c>
      <c r="G220" s="17">
        <f t="shared" si="13"/>
        <v>0.58445400000000014</v>
      </c>
      <c r="H220" s="17">
        <f t="shared" si="12"/>
        <v>9581</v>
      </c>
      <c r="I220" s="17"/>
      <c r="J220" s="17"/>
      <c r="K220" s="17"/>
      <c r="L220" s="9"/>
      <c r="M220" s="9">
        <v>0.98848199999999997</v>
      </c>
      <c r="N220" s="9">
        <f t="shared" si="14"/>
        <v>0.59540700000000013</v>
      </c>
      <c r="O220" s="9">
        <v>0.95074000000000003</v>
      </c>
      <c r="P220" s="9">
        <f t="shared" si="15"/>
        <v>0.63314900000000007</v>
      </c>
    </row>
    <row r="221" spans="1:16" x14ac:dyDescent="0.35">
      <c r="A221">
        <v>37</v>
      </c>
      <c r="B221">
        <v>0.99743899999999996</v>
      </c>
      <c r="C221">
        <v>34</v>
      </c>
      <c r="D221">
        <v>0.98474700000000004</v>
      </c>
      <c r="E221">
        <v>19</v>
      </c>
      <c r="F221">
        <v>0.94799800000000001</v>
      </c>
      <c r="G221" s="17">
        <f t="shared" si="13"/>
        <v>0.58645000000000014</v>
      </c>
      <c r="H221" s="17">
        <f t="shared" si="12"/>
        <v>9613</v>
      </c>
      <c r="I221" s="20"/>
      <c r="J221" s="21"/>
      <c r="K221" s="22"/>
      <c r="L221" s="9"/>
      <c r="M221" s="9">
        <v>0.98474700000000004</v>
      </c>
      <c r="N221" s="9">
        <f t="shared" si="14"/>
        <v>0.59914200000000006</v>
      </c>
      <c r="O221" s="9">
        <v>0.94799800000000001</v>
      </c>
      <c r="P221" s="9">
        <f t="shared" si="15"/>
        <v>0.6358910000000001</v>
      </c>
    </row>
    <row r="222" spans="1:16" x14ac:dyDescent="0.35">
      <c r="A222">
        <v>36</v>
      </c>
      <c r="B222">
        <v>0.99398600000000004</v>
      </c>
      <c r="C222">
        <v>33</v>
      </c>
      <c r="D222">
        <v>0.98223099999999997</v>
      </c>
      <c r="E222">
        <v>18</v>
      </c>
      <c r="F222">
        <v>0.94454199999999999</v>
      </c>
      <c r="G222" s="17">
        <f t="shared" si="13"/>
        <v>0.58990300000000007</v>
      </c>
      <c r="H222" s="17">
        <f t="shared" si="12"/>
        <v>9670</v>
      </c>
      <c r="I222" s="17"/>
      <c r="J222" s="18"/>
      <c r="K222" s="23"/>
      <c r="L222" s="9"/>
      <c r="M222" s="9">
        <v>0.98223099999999997</v>
      </c>
      <c r="N222" s="9">
        <f t="shared" si="14"/>
        <v>0.60165800000000014</v>
      </c>
      <c r="O222" s="9">
        <v>0.94454199999999999</v>
      </c>
      <c r="P222" s="9">
        <f t="shared" si="15"/>
        <v>0.63934700000000011</v>
      </c>
    </row>
    <row r="223" spans="1:16" x14ac:dyDescent="0.35">
      <c r="A223">
        <v>35</v>
      </c>
      <c r="B223">
        <v>0.99128400000000005</v>
      </c>
      <c r="C223">
        <v>32</v>
      </c>
      <c r="D223">
        <v>0.978572</v>
      </c>
      <c r="E223">
        <v>17</v>
      </c>
      <c r="F223">
        <v>0.94075500000000001</v>
      </c>
      <c r="G223" s="17">
        <f t="shared" si="13"/>
        <v>0.59260500000000005</v>
      </c>
      <c r="H223" s="17">
        <f t="shared" si="12"/>
        <v>9714</v>
      </c>
      <c r="I223" s="17"/>
      <c r="J223" s="18"/>
      <c r="K223" s="23"/>
      <c r="L223" s="9"/>
      <c r="M223" s="9">
        <v>0.978572</v>
      </c>
      <c r="N223" s="9">
        <f t="shared" si="14"/>
        <v>0.6053170000000001</v>
      </c>
      <c r="O223" s="9">
        <v>0.94075500000000001</v>
      </c>
      <c r="P223" s="9">
        <f t="shared" si="15"/>
        <v>0.64313400000000009</v>
      </c>
    </row>
    <row r="224" spans="1:16" x14ac:dyDescent="0.35">
      <c r="A224">
        <v>34</v>
      </c>
      <c r="B224">
        <v>0.98793600000000004</v>
      </c>
      <c r="C224">
        <v>31</v>
      </c>
      <c r="D224">
        <v>0.97717200000000004</v>
      </c>
      <c r="E224">
        <v>16</v>
      </c>
      <c r="F224">
        <v>0.93737800000000004</v>
      </c>
      <c r="G224" s="17">
        <f t="shared" si="13"/>
        <v>0.59595300000000007</v>
      </c>
      <c r="H224" s="17">
        <f t="shared" si="12"/>
        <v>9769</v>
      </c>
      <c r="I224" s="17"/>
      <c r="J224" s="18"/>
      <c r="K224" s="23"/>
      <c r="L224" s="9"/>
      <c r="M224" s="9">
        <v>0.97717200000000004</v>
      </c>
      <c r="N224" s="9">
        <f t="shared" si="14"/>
        <v>0.60671700000000006</v>
      </c>
      <c r="O224" s="9">
        <v>0.93737800000000004</v>
      </c>
      <c r="P224" s="9">
        <f t="shared" si="15"/>
        <v>0.64651100000000006</v>
      </c>
    </row>
    <row r="225" spans="1:16" x14ac:dyDescent="0.35">
      <c r="A225">
        <v>33</v>
      </c>
      <c r="B225">
        <v>0.98582499999999995</v>
      </c>
      <c r="C225">
        <v>30</v>
      </c>
      <c r="D225">
        <v>0.97352799999999995</v>
      </c>
      <c r="E225">
        <v>15</v>
      </c>
      <c r="F225">
        <v>0.93300400000000006</v>
      </c>
      <c r="G225" s="17">
        <f t="shared" si="13"/>
        <v>0.59806400000000015</v>
      </c>
      <c r="H225" s="17">
        <f t="shared" si="12"/>
        <v>9804</v>
      </c>
      <c r="I225" s="17"/>
      <c r="J225" s="18"/>
      <c r="K225" s="23"/>
      <c r="L225" s="9"/>
      <c r="M225" s="9">
        <v>0.97352799999999995</v>
      </c>
      <c r="N225" s="9">
        <f t="shared" si="14"/>
        <v>0.61036100000000015</v>
      </c>
      <c r="O225" s="9">
        <v>0.93300400000000006</v>
      </c>
      <c r="P225" s="9">
        <f t="shared" si="15"/>
        <v>0.65088500000000005</v>
      </c>
    </row>
    <row r="226" spans="1:16" x14ac:dyDescent="0.35">
      <c r="A226">
        <v>32</v>
      </c>
      <c r="B226">
        <v>0.98247600000000002</v>
      </c>
      <c r="C226">
        <v>29</v>
      </c>
      <c r="D226">
        <v>0.97096300000000002</v>
      </c>
      <c r="E226">
        <v>14</v>
      </c>
      <c r="F226">
        <v>0.92959800000000004</v>
      </c>
      <c r="G226" s="17">
        <f t="shared" si="13"/>
        <v>0.60141300000000009</v>
      </c>
      <c r="H226" s="17">
        <f t="shared" si="12"/>
        <v>9859</v>
      </c>
      <c r="I226" s="17"/>
      <c r="J226" s="18"/>
      <c r="K226" s="23"/>
      <c r="L226" s="9"/>
      <c r="M226" s="9">
        <v>0.97096300000000002</v>
      </c>
      <c r="N226" s="9">
        <f t="shared" si="14"/>
        <v>0.61292600000000008</v>
      </c>
      <c r="O226" s="9">
        <v>0.92959800000000004</v>
      </c>
      <c r="P226" s="9">
        <f t="shared" si="15"/>
        <v>0.65429100000000007</v>
      </c>
    </row>
    <row r="227" spans="1:16" x14ac:dyDescent="0.35">
      <c r="A227">
        <v>31</v>
      </c>
      <c r="B227">
        <v>0.97636100000000003</v>
      </c>
      <c r="C227">
        <v>28</v>
      </c>
      <c r="D227">
        <v>0.96725899999999998</v>
      </c>
      <c r="E227">
        <v>13</v>
      </c>
      <c r="F227">
        <v>0.92569000000000001</v>
      </c>
      <c r="G227" s="17">
        <f t="shared" si="13"/>
        <v>0.60752800000000007</v>
      </c>
      <c r="H227" s="17">
        <f t="shared" si="12"/>
        <v>9959</v>
      </c>
      <c r="I227" s="17"/>
      <c r="J227" s="18"/>
      <c r="K227" s="23"/>
      <c r="L227" s="9"/>
      <c r="M227" s="9">
        <v>0.96725899999999998</v>
      </c>
      <c r="N227" s="9">
        <f t="shared" si="14"/>
        <v>0.61663000000000012</v>
      </c>
      <c r="O227" s="9">
        <v>0.92569000000000001</v>
      </c>
      <c r="P227" s="9">
        <f t="shared" si="15"/>
        <v>0.65819900000000009</v>
      </c>
    </row>
    <row r="228" spans="1:16" x14ac:dyDescent="0.35">
      <c r="A228">
        <v>30</v>
      </c>
      <c r="B228">
        <v>0.97297400000000001</v>
      </c>
      <c r="C228">
        <v>27</v>
      </c>
      <c r="D228">
        <v>0.96540599999999999</v>
      </c>
      <c r="E228">
        <v>12</v>
      </c>
      <c r="F228">
        <v>0.92232400000000003</v>
      </c>
      <c r="G228" s="17">
        <f t="shared" si="13"/>
        <v>0.6109150000000001</v>
      </c>
      <c r="H228" s="17">
        <f t="shared" si="12"/>
        <v>10015</v>
      </c>
      <c r="I228" s="17"/>
      <c r="J228" s="18"/>
      <c r="K228" s="23"/>
      <c r="L228" s="9"/>
      <c r="M228" s="9">
        <v>0.96540599999999999</v>
      </c>
      <c r="N228" s="9">
        <f t="shared" si="14"/>
        <v>0.61848300000000012</v>
      </c>
      <c r="O228" s="9">
        <v>0.92232400000000003</v>
      </c>
      <c r="P228" s="9">
        <f t="shared" si="15"/>
        <v>0.66156500000000007</v>
      </c>
    </row>
    <row r="229" spans="1:16" x14ac:dyDescent="0.35">
      <c r="A229">
        <v>29</v>
      </c>
      <c r="B229">
        <v>0.97097999999999995</v>
      </c>
      <c r="C229">
        <v>26</v>
      </c>
      <c r="D229">
        <v>0.96165599999999996</v>
      </c>
      <c r="E229">
        <v>11</v>
      </c>
      <c r="F229">
        <v>0.91939899999999997</v>
      </c>
      <c r="G229" s="17">
        <f t="shared" si="13"/>
        <v>0.61290900000000015</v>
      </c>
      <c r="H229" s="17">
        <f t="shared" si="12"/>
        <v>10047</v>
      </c>
      <c r="I229" s="17"/>
      <c r="J229" s="18"/>
      <c r="K229" s="23"/>
      <c r="L229" s="9"/>
      <c r="M229" s="9">
        <v>0.96165599999999996</v>
      </c>
      <c r="N229" s="9">
        <f t="shared" si="14"/>
        <v>0.62223300000000015</v>
      </c>
      <c r="O229" s="9">
        <v>0.91939899999999997</v>
      </c>
      <c r="P229" s="9">
        <f t="shared" si="15"/>
        <v>0.66449000000000014</v>
      </c>
    </row>
    <row r="230" spans="1:16" x14ac:dyDescent="0.35">
      <c r="A230">
        <v>28</v>
      </c>
      <c r="B230">
        <v>0.96758200000000005</v>
      </c>
      <c r="C230">
        <v>25</v>
      </c>
      <c r="D230">
        <v>0.95894100000000004</v>
      </c>
      <c r="E230">
        <v>10</v>
      </c>
      <c r="F230">
        <v>0.91605000000000003</v>
      </c>
      <c r="G230" s="17">
        <f t="shared" si="13"/>
        <v>0.61630700000000005</v>
      </c>
      <c r="H230" s="17">
        <f t="shared" si="12"/>
        <v>10103</v>
      </c>
      <c r="I230" s="17"/>
      <c r="J230" s="18"/>
      <c r="K230" s="23"/>
      <c r="L230" s="9"/>
      <c r="M230" s="9">
        <v>0.95894100000000004</v>
      </c>
      <c r="N230" s="9">
        <f t="shared" si="14"/>
        <v>0.62494800000000006</v>
      </c>
      <c r="O230" s="9">
        <v>0.91605000000000003</v>
      </c>
      <c r="P230" s="9">
        <f t="shared" si="15"/>
        <v>0.66783900000000007</v>
      </c>
    </row>
    <row r="231" spans="1:16" x14ac:dyDescent="0.35">
      <c r="A231">
        <v>27</v>
      </c>
      <c r="B231">
        <v>0.96490100000000001</v>
      </c>
      <c r="C231">
        <v>24</v>
      </c>
      <c r="D231">
        <v>0.95552800000000004</v>
      </c>
      <c r="E231">
        <v>9</v>
      </c>
      <c r="F231">
        <v>0.91224899999999998</v>
      </c>
      <c r="G231" s="17">
        <f t="shared" si="13"/>
        <v>0.61898800000000009</v>
      </c>
      <c r="H231" s="17">
        <f t="shared" si="12"/>
        <v>10147</v>
      </c>
      <c r="I231" s="17"/>
      <c r="J231" s="18"/>
      <c r="K231" s="23"/>
      <c r="L231" s="9"/>
      <c r="M231" s="9">
        <v>0.95552800000000004</v>
      </c>
      <c r="N231" s="9">
        <f t="shared" si="14"/>
        <v>0.62836100000000006</v>
      </c>
      <c r="O231" s="9">
        <v>0.91224899999999998</v>
      </c>
      <c r="P231" s="9">
        <f t="shared" si="15"/>
        <v>0.67164000000000013</v>
      </c>
    </row>
    <row r="232" spans="1:16" x14ac:dyDescent="0.35">
      <c r="A232">
        <v>26</v>
      </c>
      <c r="B232">
        <v>0.96139799999999997</v>
      </c>
      <c r="C232">
        <v>23</v>
      </c>
      <c r="D232">
        <v>0.95424399999999998</v>
      </c>
      <c r="E232">
        <v>8</v>
      </c>
      <c r="F232">
        <v>0.90877699999999995</v>
      </c>
      <c r="G232" s="17">
        <f t="shared" si="13"/>
        <v>0.62249100000000013</v>
      </c>
      <c r="H232" s="17">
        <f t="shared" si="12"/>
        <v>10204</v>
      </c>
      <c r="I232" s="17"/>
      <c r="J232" s="18"/>
      <c r="K232" s="23"/>
      <c r="L232" s="9"/>
      <c r="M232" s="9">
        <v>0.95424399999999998</v>
      </c>
      <c r="N232" s="9">
        <f t="shared" si="14"/>
        <v>0.62964500000000012</v>
      </c>
      <c r="O232" s="9">
        <v>0.90877699999999995</v>
      </c>
      <c r="P232" s="9">
        <f t="shared" si="15"/>
        <v>0.67511200000000016</v>
      </c>
    </row>
    <row r="233" spans="1:16" x14ac:dyDescent="0.35">
      <c r="A233">
        <v>25</v>
      </c>
      <c r="B233">
        <v>0.95944499999999999</v>
      </c>
      <c r="C233">
        <v>22</v>
      </c>
      <c r="D233">
        <v>0.95041299999999995</v>
      </c>
      <c r="E233">
        <v>7</v>
      </c>
      <c r="F233">
        <v>0.907439</v>
      </c>
      <c r="G233" s="17">
        <f t="shared" si="13"/>
        <v>0.62444400000000011</v>
      </c>
      <c r="H233" s="17">
        <f t="shared" si="12"/>
        <v>10236</v>
      </c>
      <c r="I233" s="17"/>
      <c r="J233" s="18"/>
      <c r="K233" s="23"/>
      <c r="L233" s="9"/>
      <c r="M233" s="9">
        <v>0.95041299999999995</v>
      </c>
      <c r="N233" s="9">
        <f t="shared" si="14"/>
        <v>0.63347600000000015</v>
      </c>
      <c r="O233" s="9">
        <v>0.907439</v>
      </c>
      <c r="P233" s="9">
        <f t="shared" si="15"/>
        <v>0.67645000000000011</v>
      </c>
    </row>
    <row r="234" spans="1:16" x14ac:dyDescent="0.35">
      <c r="A234">
        <v>24</v>
      </c>
      <c r="B234">
        <v>0.95608499999999996</v>
      </c>
      <c r="C234">
        <v>21</v>
      </c>
      <c r="D234">
        <v>0.94784900000000005</v>
      </c>
      <c r="E234">
        <v>6</v>
      </c>
      <c r="F234">
        <v>0.90401799999999999</v>
      </c>
      <c r="G234" s="17">
        <f t="shared" si="13"/>
        <v>0.62780400000000014</v>
      </c>
      <c r="H234" s="17">
        <f t="shared" si="12"/>
        <v>10291</v>
      </c>
      <c r="I234" s="17"/>
      <c r="J234" s="18"/>
      <c r="K234" s="23"/>
      <c r="L234" s="9"/>
      <c r="M234" s="9">
        <v>0.94784900000000005</v>
      </c>
      <c r="N234" s="9">
        <f t="shared" si="14"/>
        <v>0.63604000000000005</v>
      </c>
      <c r="O234" s="9">
        <v>0.90401799999999999</v>
      </c>
      <c r="P234" s="9">
        <f t="shared" si="15"/>
        <v>0.67987100000000011</v>
      </c>
    </row>
    <row r="235" spans="1:16" x14ac:dyDescent="0.35">
      <c r="A235">
        <v>23</v>
      </c>
      <c r="B235">
        <v>0.95245999999999997</v>
      </c>
      <c r="C235">
        <v>20</v>
      </c>
      <c r="D235">
        <v>0.94419799999999998</v>
      </c>
      <c r="E235">
        <v>5</v>
      </c>
      <c r="F235">
        <v>0.89995599999999998</v>
      </c>
      <c r="G235" s="17">
        <f t="shared" si="13"/>
        <v>0.63142900000000013</v>
      </c>
      <c r="H235" s="17">
        <f t="shared" si="12"/>
        <v>10351</v>
      </c>
      <c r="I235" s="17"/>
      <c r="J235" s="18"/>
      <c r="K235" s="23"/>
      <c r="L235" s="9"/>
      <c r="M235" s="9">
        <v>0.94419799999999998</v>
      </c>
      <c r="N235" s="9">
        <f t="shared" si="14"/>
        <v>0.63969100000000012</v>
      </c>
      <c r="O235" s="9">
        <v>0.89995599999999998</v>
      </c>
      <c r="P235" s="9">
        <f t="shared" si="15"/>
        <v>0.68393300000000012</v>
      </c>
    </row>
    <row r="236" spans="1:16" x14ac:dyDescent="0.35">
      <c r="A236">
        <v>22</v>
      </c>
      <c r="B236">
        <v>0.94928000000000001</v>
      </c>
      <c r="C236">
        <v>19</v>
      </c>
      <c r="D236">
        <v>0.94210799999999995</v>
      </c>
      <c r="E236">
        <v>4</v>
      </c>
      <c r="F236">
        <v>0.89637500000000003</v>
      </c>
      <c r="G236" s="17">
        <f t="shared" si="13"/>
        <v>0.63460900000000009</v>
      </c>
      <c r="H236" s="17">
        <f t="shared" si="12"/>
        <v>10403</v>
      </c>
      <c r="I236" s="17"/>
      <c r="J236" s="18"/>
      <c r="K236" s="23"/>
      <c r="L236" s="9"/>
      <c r="M236" s="9">
        <v>0.94210799999999995</v>
      </c>
      <c r="N236" s="9">
        <f t="shared" si="14"/>
        <v>0.64178100000000016</v>
      </c>
      <c r="O236" s="9">
        <v>0.89637500000000003</v>
      </c>
      <c r="P236" s="9">
        <f t="shared" si="15"/>
        <v>0.68751400000000007</v>
      </c>
    </row>
    <row r="237" spans="1:16" x14ac:dyDescent="0.35">
      <c r="A237">
        <v>21</v>
      </c>
      <c r="B237">
        <v>0.94712799999999997</v>
      </c>
      <c r="C237">
        <v>18</v>
      </c>
      <c r="D237">
        <v>0.93850699999999998</v>
      </c>
      <c r="E237">
        <v>3</v>
      </c>
      <c r="F237">
        <v>0.893648</v>
      </c>
      <c r="G237" s="17">
        <f t="shared" si="13"/>
        <v>0.63676100000000013</v>
      </c>
      <c r="H237" s="17">
        <f t="shared" si="12"/>
        <v>10438</v>
      </c>
      <c r="I237" s="17"/>
      <c r="J237" s="18"/>
      <c r="K237" s="23"/>
      <c r="L237" s="9"/>
      <c r="M237" s="9">
        <v>0.93850699999999998</v>
      </c>
      <c r="N237" s="9">
        <f t="shared" si="14"/>
        <v>0.64538200000000012</v>
      </c>
      <c r="O237" s="9">
        <v>0.893648</v>
      </c>
      <c r="P237" s="9">
        <f t="shared" si="15"/>
        <v>0.6902410000000001</v>
      </c>
    </row>
    <row r="238" spans="1:16" x14ac:dyDescent="0.35">
      <c r="A238">
        <v>20</v>
      </c>
      <c r="B238">
        <v>0.94363900000000001</v>
      </c>
      <c r="C238">
        <v>17</v>
      </c>
      <c r="D238">
        <v>0.935693</v>
      </c>
      <c r="E238">
        <v>2</v>
      </c>
      <c r="F238">
        <v>0.89024400000000004</v>
      </c>
      <c r="G238" s="17">
        <f t="shared" si="13"/>
        <v>0.6402500000000001</v>
      </c>
      <c r="H238" s="17">
        <f t="shared" si="12"/>
        <v>10495</v>
      </c>
      <c r="I238" s="17"/>
      <c r="J238" s="18"/>
      <c r="K238" s="23"/>
      <c r="L238" s="9"/>
      <c r="M238" s="9">
        <v>0.935693</v>
      </c>
      <c r="N238" s="9">
        <f t="shared" si="14"/>
        <v>0.64819600000000011</v>
      </c>
      <c r="O238" s="9">
        <v>0.89024400000000004</v>
      </c>
      <c r="P238" s="9">
        <f t="shared" si="15"/>
        <v>0.69364500000000007</v>
      </c>
    </row>
    <row r="239" spans="1:16" x14ac:dyDescent="0.35">
      <c r="A239">
        <v>19</v>
      </c>
      <c r="B239">
        <v>0.94093599999999999</v>
      </c>
      <c r="C239">
        <v>16</v>
      </c>
      <c r="D239">
        <v>0.93203599999999998</v>
      </c>
      <c r="E239">
        <v>1</v>
      </c>
      <c r="F239">
        <v>0.88614199999999999</v>
      </c>
      <c r="G239" s="17">
        <f t="shared" si="13"/>
        <v>0.64295300000000011</v>
      </c>
      <c r="H239" s="17">
        <f t="shared" si="12"/>
        <v>10540</v>
      </c>
      <c r="I239" s="17"/>
      <c r="J239" s="18"/>
      <c r="K239" s="23"/>
      <c r="L239" s="9"/>
      <c r="M239" s="9">
        <v>0.93203599999999998</v>
      </c>
      <c r="N239" s="9">
        <f t="shared" si="14"/>
        <v>0.65185300000000013</v>
      </c>
      <c r="O239" s="9">
        <v>0.88614199999999999</v>
      </c>
      <c r="P239" s="9">
        <f t="shared" si="15"/>
        <v>0.69774700000000012</v>
      </c>
    </row>
    <row r="240" spans="1:16" x14ac:dyDescent="0.35">
      <c r="A240">
        <v>18</v>
      </c>
      <c r="B240">
        <v>0.93762599999999996</v>
      </c>
      <c r="C240">
        <v>15</v>
      </c>
      <c r="D240">
        <v>0.92825000000000002</v>
      </c>
      <c r="E240">
        <v>0</v>
      </c>
      <c r="F240">
        <v>0.88248199999999999</v>
      </c>
      <c r="G240" s="17">
        <f t="shared" si="13"/>
        <v>0.64626300000000014</v>
      </c>
      <c r="H240" s="17">
        <f t="shared" si="12"/>
        <v>10594</v>
      </c>
      <c r="I240" s="17"/>
      <c r="J240" s="18"/>
      <c r="K240" s="23"/>
      <c r="L240" s="9"/>
      <c r="M240" s="9">
        <v>0.92825000000000002</v>
      </c>
      <c r="N240" s="9">
        <f t="shared" si="14"/>
        <v>0.65563900000000008</v>
      </c>
      <c r="O240" s="9">
        <v>0.88248199999999999</v>
      </c>
      <c r="P240" s="9">
        <f t="shared" si="15"/>
        <v>0.70140700000000011</v>
      </c>
    </row>
    <row r="241" spans="1:16" x14ac:dyDescent="0.35">
      <c r="A241">
        <v>17</v>
      </c>
      <c r="B241">
        <v>0.93542599999999998</v>
      </c>
      <c r="C241">
        <v>14</v>
      </c>
      <c r="D241">
        <v>0.92482299999999995</v>
      </c>
      <c r="E241" s="8"/>
      <c r="F241" s="8"/>
      <c r="G241" s="17">
        <f t="shared" si="13"/>
        <v>0.64846300000000012</v>
      </c>
      <c r="H241" s="17">
        <f t="shared" si="12"/>
        <v>10630</v>
      </c>
      <c r="I241" s="17"/>
      <c r="J241" s="18"/>
      <c r="K241" s="23"/>
      <c r="L241" s="9"/>
      <c r="M241" s="9">
        <v>0.92482299999999995</v>
      </c>
      <c r="N241" s="9">
        <f t="shared" si="14"/>
        <v>0.65906600000000015</v>
      </c>
      <c r="O241" s="9">
        <v>0.87803600000000004</v>
      </c>
      <c r="P241" s="9">
        <f t="shared" si="15"/>
        <v>0.70585300000000006</v>
      </c>
    </row>
    <row r="242" spans="1:16" x14ac:dyDescent="0.35">
      <c r="A242">
        <v>16</v>
      </c>
      <c r="B242">
        <v>0.93196900000000005</v>
      </c>
      <c r="C242">
        <v>13</v>
      </c>
      <c r="D242">
        <v>0.922018</v>
      </c>
      <c r="E242" s="8"/>
      <c r="F242" s="8"/>
      <c r="G242" s="17">
        <f t="shared" si="13"/>
        <v>0.65192000000000005</v>
      </c>
      <c r="H242" s="17">
        <f t="shared" si="12"/>
        <v>10687</v>
      </c>
      <c r="I242" s="17"/>
      <c r="J242" s="18"/>
      <c r="K242" s="23"/>
      <c r="L242" s="9"/>
      <c r="M242" s="9">
        <v>0.922018</v>
      </c>
      <c r="N242" s="9">
        <f t="shared" si="14"/>
        <v>0.6618710000000001</v>
      </c>
      <c r="O242" s="9">
        <v>0.87528799999999995</v>
      </c>
      <c r="P242" s="9">
        <f t="shared" si="15"/>
        <v>0.70860100000000015</v>
      </c>
    </row>
    <row r="243" spans="1:16" x14ac:dyDescent="0.35">
      <c r="A243">
        <v>15</v>
      </c>
      <c r="B243">
        <v>0.92810199999999998</v>
      </c>
      <c r="C243">
        <v>12</v>
      </c>
      <c r="D243">
        <v>0.91842999999999997</v>
      </c>
      <c r="E243" s="8"/>
      <c r="F243" s="8"/>
      <c r="G243" s="17">
        <f t="shared" si="13"/>
        <v>0.65578700000000012</v>
      </c>
      <c r="H243" s="17">
        <f t="shared" si="12"/>
        <v>10750</v>
      </c>
      <c r="I243" s="17"/>
      <c r="J243" s="18"/>
      <c r="K243" s="23"/>
      <c r="L243" s="9"/>
      <c r="M243" s="9">
        <v>0.91842999999999997</v>
      </c>
      <c r="N243" s="9">
        <f t="shared" si="14"/>
        <v>0.66545900000000013</v>
      </c>
      <c r="O243" s="9">
        <v>0.87219899999999995</v>
      </c>
      <c r="P243" s="9">
        <f t="shared" si="15"/>
        <v>0.71169000000000016</v>
      </c>
    </row>
    <row r="244" spans="1:16" x14ac:dyDescent="0.35">
      <c r="A244">
        <v>14</v>
      </c>
      <c r="B244">
        <v>0.924844</v>
      </c>
      <c r="C244">
        <v>11</v>
      </c>
      <c r="D244">
        <v>0.91624000000000005</v>
      </c>
      <c r="E244" s="8"/>
      <c r="F244" s="8"/>
      <c r="G244" s="17">
        <f t="shared" si="13"/>
        <v>0.6590450000000001</v>
      </c>
      <c r="H244" s="17">
        <f t="shared" si="12"/>
        <v>10804</v>
      </c>
      <c r="I244" s="17"/>
      <c r="J244" s="18"/>
      <c r="K244" s="23"/>
      <c r="L244" s="9"/>
      <c r="M244" s="9">
        <v>0.91624000000000005</v>
      </c>
      <c r="N244" s="9">
        <f t="shared" si="14"/>
        <v>0.66764900000000005</v>
      </c>
      <c r="O244" s="9">
        <v>0.866421</v>
      </c>
      <c r="P244" s="9">
        <f t="shared" si="15"/>
        <v>0.71746800000000011</v>
      </c>
    </row>
    <row r="245" spans="1:16" x14ac:dyDescent="0.35">
      <c r="A245">
        <v>13</v>
      </c>
      <c r="B245">
        <v>0.92271199999999998</v>
      </c>
      <c r="C245">
        <v>10</v>
      </c>
      <c r="D245">
        <v>0.91263499999999997</v>
      </c>
      <c r="E245" s="8"/>
      <c r="F245" s="8"/>
      <c r="G245" s="17">
        <f t="shared" si="13"/>
        <v>0.66117700000000013</v>
      </c>
      <c r="H245" s="17">
        <f t="shared" si="12"/>
        <v>10838</v>
      </c>
      <c r="I245" s="17"/>
      <c r="J245" s="18"/>
      <c r="K245" s="23"/>
      <c r="L245" s="9"/>
      <c r="M245" s="9">
        <v>0.91263499999999997</v>
      </c>
      <c r="N245" s="9">
        <f t="shared" si="14"/>
        <v>0.67125400000000013</v>
      </c>
      <c r="O245" s="9">
        <v>0.86339900000000003</v>
      </c>
      <c r="P245" s="9">
        <f t="shared" si="15"/>
        <v>0.72049000000000007</v>
      </c>
    </row>
    <row r="246" spans="1:16" x14ac:dyDescent="0.35">
      <c r="A246">
        <v>12</v>
      </c>
      <c r="B246">
        <v>0.91924899999999998</v>
      </c>
      <c r="C246">
        <v>9</v>
      </c>
      <c r="D246">
        <v>0.90995400000000004</v>
      </c>
      <c r="E246" s="8"/>
      <c r="F246" s="8"/>
      <c r="G246" s="17">
        <f t="shared" si="13"/>
        <v>0.66464000000000012</v>
      </c>
      <c r="H246" s="17">
        <f t="shared" si="12"/>
        <v>10895</v>
      </c>
      <c r="I246" s="17"/>
      <c r="J246" s="18"/>
      <c r="K246" s="23"/>
      <c r="L246" s="9"/>
      <c r="M246" s="9">
        <v>0.90995400000000004</v>
      </c>
      <c r="N246" s="9">
        <f t="shared" si="14"/>
        <v>0.67393500000000006</v>
      </c>
      <c r="O246" s="9">
        <v>0.86047799999999997</v>
      </c>
      <c r="P246" s="9">
        <f t="shared" si="15"/>
        <v>0.72341100000000014</v>
      </c>
    </row>
    <row r="247" spans="1:16" x14ac:dyDescent="0.35">
      <c r="A247">
        <v>11</v>
      </c>
      <c r="B247">
        <v>0.91654599999999997</v>
      </c>
      <c r="C247">
        <v>8</v>
      </c>
      <c r="D247">
        <v>0.906138</v>
      </c>
      <c r="E247" s="8"/>
      <c r="F247" s="8"/>
      <c r="G247" s="17">
        <f t="shared" si="13"/>
        <v>0.66734300000000013</v>
      </c>
      <c r="H247" s="17">
        <f t="shared" si="12"/>
        <v>10940</v>
      </c>
      <c r="I247" s="17"/>
      <c r="J247" s="18"/>
      <c r="K247" s="23"/>
      <c r="L247" s="9"/>
      <c r="M247" s="9">
        <v>0.906138</v>
      </c>
      <c r="N247" s="9">
        <f t="shared" si="14"/>
        <v>0.6777510000000001</v>
      </c>
      <c r="O247" s="9">
        <v>0.85738099999999995</v>
      </c>
      <c r="P247" s="9">
        <f t="shared" si="15"/>
        <v>0.72650800000000015</v>
      </c>
    </row>
    <row r="248" spans="1:16" x14ac:dyDescent="0.35">
      <c r="A248">
        <v>10</v>
      </c>
      <c r="B248">
        <v>0.912906</v>
      </c>
      <c r="C248">
        <v>7</v>
      </c>
      <c r="D248">
        <v>0.90469299999999997</v>
      </c>
      <c r="E248" s="8"/>
      <c r="F248" s="8"/>
      <c r="G248" s="17">
        <f t="shared" si="13"/>
        <v>0.67098300000000011</v>
      </c>
      <c r="H248" s="17">
        <f t="shared" si="12"/>
        <v>10999</v>
      </c>
      <c r="I248" s="17"/>
      <c r="J248" s="18"/>
      <c r="K248" s="23"/>
      <c r="L248" s="9"/>
      <c r="M248" s="9">
        <v>0.90469299999999997</v>
      </c>
      <c r="N248" s="9">
        <f t="shared" si="14"/>
        <v>0.67919600000000013</v>
      </c>
      <c r="O248" s="9">
        <v>0.85407200000000005</v>
      </c>
      <c r="P248" s="9">
        <f t="shared" si="15"/>
        <v>0.72981700000000005</v>
      </c>
    </row>
    <row r="249" spans="1:16" x14ac:dyDescent="0.35">
      <c r="A249">
        <v>9</v>
      </c>
      <c r="B249">
        <v>0.91080000000000005</v>
      </c>
      <c r="C249">
        <v>6</v>
      </c>
      <c r="D249">
        <v>0.90131000000000006</v>
      </c>
      <c r="E249" s="8"/>
      <c r="F249" s="8"/>
      <c r="G249" s="17">
        <f t="shared" si="13"/>
        <v>0.67308900000000005</v>
      </c>
      <c r="H249" s="17">
        <f t="shared" si="12"/>
        <v>11034</v>
      </c>
      <c r="I249" s="17"/>
      <c r="J249" s="18"/>
      <c r="K249" s="23"/>
      <c r="L249" s="9"/>
      <c r="M249" s="9">
        <v>0.90131000000000006</v>
      </c>
      <c r="N249" s="9">
        <f t="shared" si="14"/>
        <v>0.68257900000000005</v>
      </c>
      <c r="O249" s="9">
        <v>0.85108099999999998</v>
      </c>
      <c r="P249" s="9">
        <f t="shared" si="15"/>
        <v>0.73280800000000013</v>
      </c>
    </row>
    <row r="250" spans="1:16" x14ac:dyDescent="0.35">
      <c r="A250">
        <v>8</v>
      </c>
      <c r="B250">
        <v>0.90731700000000004</v>
      </c>
      <c r="C250">
        <v>5</v>
      </c>
      <c r="D250">
        <v>0.89846700000000002</v>
      </c>
      <c r="E250" s="8"/>
      <c r="F250" s="8"/>
      <c r="G250" s="17">
        <f t="shared" si="13"/>
        <v>0.67657200000000006</v>
      </c>
      <c r="H250" s="17">
        <f t="shared" si="12"/>
        <v>11091</v>
      </c>
      <c r="I250" s="17"/>
      <c r="J250" s="18"/>
      <c r="K250" s="23"/>
      <c r="L250" s="9"/>
      <c r="M250" s="9">
        <v>0.89846700000000002</v>
      </c>
      <c r="N250" s="9">
        <f t="shared" si="14"/>
        <v>0.68542200000000009</v>
      </c>
      <c r="O250" s="9">
        <v>0.84789400000000004</v>
      </c>
      <c r="P250" s="9">
        <f t="shared" si="15"/>
        <v>0.73599500000000007</v>
      </c>
    </row>
    <row r="251" spans="1:16" x14ac:dyDescent="0.35">
      <c r="A251">
        <v>7</v>
      </c>
      <c r="B251">
        <v>0.90371500000000005</v>
      </c>
      <c r="C251">
        <v>4</v>
      </c>
      <c r="D251">
        <v>0.89482600000000001</v>
      </c>
      <c r="E251" s="8"/>
      <c r="F251" s="8"/>
      <c r="G251" s="17">
        <f t="shared" si="13"/>
        <v>0.68017400000000006</v>
      </c>
      <c r="H251" s="17">
        <f t="shared" si="12"/>
        <v>11150</v>
      </c>
      <c r="I251" s="17"/>
      <c r="J251" s="18"/>
      <c r="K251" s="23"/>
      <c r="L251" s="9"/>
      <c r="M251" s="9">
        <v>0.89482600000000001</v>
      </c>
      <c r="N251" s="9">
        <f t="shared" si="14"/>
        <v>0.68906300000000009</v>
      </c>
      <c r="O251" s="9">
        <v>0.84481700000000004</v>
      </c>
      <c r="P251" s="9">
        <f t="shared" si="15"/>
        <v>0.73907200000000006</v>
      </c>
    </row>
    <row r="252" spans="1:16" x14ac:dyDescent="0.35">
      <c r="A252">
        <v>6</v>
      </c>
      <c r="B252">
        <v>0.90019700000000002</v>
      </c>
      <c r="C252">
        <v>3</v>
      </c>
      <c r="D252">
        <v>0.892791</v>
      </c>
      <c r="E252" s="8"/>
      <c r="F252" s="8"/>
      <c r="G252" s="17">
        <f t="shared" si="13"/>
        <v>0.68369200000000008</v>
      </c>
      <c r="H252" s="17">
        <f t="shared" si="12"/>
        <v>11208</v>
      </c>
      <c r="I252" s="17"/>
      <c r="J252" s="18"/>
      <c r="K252" s="23"/>
      <c r="L252" s="9"/>
      <c r="M252" s="9">
        <v>0.892791</v>
      </c>
      <c r="N252" s="9">
        <f t="shared" si="14"/>
        <v>0.6910980000000001</v>
      </c>
      <c r="O252" s="9"/>
      <c r="P252" s="9"/>
    </row>
    <row r="253" spans="1:16" x14ac:dyDescent="0.35">
      <c r="A253">
        <v>5</v>
      </c>
      <c r="B253">
        <v>0.89813600000000005</v>
      </c>
      <c r="C253">
        <v>2</v>
      </c>
      <c r="D253">
        <v>0.88911399999999996</v>
      </c>
      <c r="E253" s="8"/>
      <c r="F253" s="8"/>
      <c r="G253" s="17">
        <f t="shared" si="13"/>
        <v>0.68575300000000006</v>
      </c>
      <c r="H253" s="17">
        <f t="shared" si="12"/>
        <v>11241</v>
      </c>
      <c r="I253" s="17"/>
      <c r="J253" s="18"/>
      <c r="K253" s="23"/>
      <c r="L253" s="9"/>
      <c r="M253" s="9">
        <v>0.88911399999999996</v>
      </c>
      <c r="N253" s="9">
        <f t="shared" si="14"/>
        <v>0.69477500000000014</v>
      </c>
      <c r="O253" s="9"/>
      <c r="P253" s="9"/>
    </row>
    <row r="254" spans="1:16" x14ac:dyDescent="0.35">
      <c r="A254">
        <v>4</v>
      </c>
      <c r="B254">
        <v>0.89468300000000001</v>
      </c>
      <c r="C254">
        <v>1</v>
      </c>
      <c r="D254">
        <v>0.88628700000000005</v>
      </c>
      <c r="E254" s="8"/>
      <c r="F254" s="8"/>
      <c r="G254" s="17">
        <f t="shared" si="13"/>
        <v>0.6892060000000001</v>
      </c>
      <c r="H254" s="17">
        <f t="shared" si="12"/>
        <v>11298</v>
      </c>
      <c r="I254" s="17"/>
      <c r="J254" s="18"/>
      <c r="K254" s="23"/>
      <c r="L254" s="9"/>
      <c r="M254" s="9">
        <v>0.88628700000000005</v>
      </c>
      <c r="N254" s="9">
        <f t="shared" si="14"/>
        <v>0.69760200000000006</v>
      </c>
      <c r="O254" s="9"/>
      <c r="P254" s="9"/>
    </row>
    <row r="255" spans="1:16" x14ac:dyDescent="0.35">
      <c r="A255">
        <v>3</v>
      </c>
      <c r="B255">
        <v>0.89188199999999995</v>
      </c>
      <c r="C255">
        <v>0</v>
      </c>
      <c r="D255">
        <v>0.88259900000000002</v>
      </c>
      <c r="E255" s="8"/>
      <c r="F255" s="8"/>
      <c r="G255" s="17">
        <f t="shared" si="13"/>
        <v>0.69200700000000015</v>
      </c>
      <c r="H255" s="17">
        <f t="shared" si="12"/>
        <v>11344</v>
      </c>
      <c r="I255" s="17"/>
      <c r="J255" s="18"/>
      <c r="K255" s="23"/>
      <c r="L255" s="9"/>
      <c r="M255" s="9">
        <v>0.88259900000000002</v>
      </c>
      <c r="N255" s="9">
        <f t="shared" si="14"/>
        <v>0.70129000000000008</v>
      </c>
      <c r="O255" s="9"/>
      <c r="P255" s="9"/>
    </row>
    <row r="256" spans="1:16" x14ac:dyDescent="0.35">
      <c r="A256">
        <v>2</v>
      </c>
      <c r="B256">
        <v>0.88851500000000005</v>
      </c>
      <c r="C256" s="8"/>
      <c r="D256" s="8"/>
      <c r="E256" s="8"/>
      <c r="F256" s="8"/>
      <c r="G256" s="17">
        <f t="shared" si="13"/>
        <v>0.69537400000000005</v>
      </c>
      <c r="H256" s="17">
        <f t="shared" si="12"/>
        <v>11399</v>
      </c>
      <c r="I256" s="17"/>
      <c r="J256" s="18"/>
      <c r="K256" s="23"/>
      <c r="L256" s="9"/>
      <c r="M256" s="9">
        <v>0.84476099999999998</v>
      </c>
      <c r="N256" s="9">
        <f t="shared" si="14"/>
        <v>0.73912800000000012</v>
      </c>
      <c r="O256" s="9"/>
      <c r="P256" s="9"/>
    </row>
    <row r="257" spans="1:16" x14ac:dyDescent="0.35">
      <c r="A257">
        <v>1</v>
      </c>
      <c r="B257">
        <v>0.88624599999999998</v>
      </c>
      <c r="C257" s="8"/>
      <c r="D257" s="8"/>
      <c r="E257" s="8"/>
      <c r="F257" s="8"/>
      <c r="G257" s="17">
        <f t="shared" si="13"/>
        <v>0.69764300000000012</v>
      </c>
      <c r="H257" s="17">
        <f t="shared" si="12"/>
        <v>11436</v>
      </c>
      <c r="I257" s="17"/>
      <c r="J257" s="18"/>
      <c r="K257" s="23"/>
      <c r="L257" s="9"/>
      <c r="M257" s="9">
        <v>0.873</v>
      </c>
      <c r="N257" s="9">
        <f t="shared" si="14"/>
        <v>0.7108890000000001</v>
      </c>
      <c r="O257" s="9"/>
      <c r="P257" s="9"/>
    </row>
    <row r="258" spans="1:16" x14ac:dyDescent="0.35">
      <c r="A258">
        <v>0</v>
      </c>
      <c r="B258">
        <v>0.88269900000000001</v>
      </c>
      <c r="C258" s="8"/>
      <c r="D258" s="8"/>
      <c r="E258" s="8"/>
      <c r="F258" s="8"/>
      <c r="G258" s="17">
        <f t="shared" si="13"/>
        <v>0.70119000000000009</v>
      </c>
      <c r="H258" s="17">
        <f t="shared" si="12"/>
        <v>11494</v>
      </c>
      <c r="I258" s="17"/>
      <c r="J258" s="18"/>
      <c r="K258" s="24"/>
      <c r="L258" s="9"/>
      <c r="M258" s="9">
        <v>0.86899999999999999</v>
      </c>
      <c r="N258" s="9">
        <f t="shared" si="14"/>
        <v>0.71488900000000011</v>
      </c>
      <c r="O258" s="9"/>
      <c r="P258" s="9"/>
    </row>
  </sheetData>
  <sortState xmlns:xlrd2="http://schemas.microsoft.com/office/spreadsheetml/2017/richdata2" ref="S42:T297">
    <sortCondition descending="1" ref="S42:S297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dcterms:created xsi:type="dcterms:W3CDTF">2025-09-25T08:27:56Z</dcterms:created>
  <dcterms:modified xsi:type="dcterms:W3CDTF">2025-10-21T13:53:17Z</dcterms:modified>
</cp:coreProperties>
</file>