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eret_adm\PycharmProjects\MANIP\"/>
    </mc:Choice>
  </mc:AlternateContent>
  <xr:revisionPtr revIDLastSave="0" documentId="13_ncr:1_{05FC1219-F09C-468A-92C0-4688558F602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72" i="1" l="1" a="1"/>
  <c r="V72" i="1" s="1"/>
  <c r="W72" i="1" s="1"/>
  <c r="Y161" i="1"/>
  <c r="Y154" i="1"/>
  <c r="Y147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V258" i="1" a="1"/>
  <c r="V258" i="1" s="1"/>
  <c r="W258" i="1" s="1"/>
  <c r="V257" i="1" a="1"/>
  <c r="V257" i="1" s="1"/>
  <c r="W257" i="1" s="1"/>
  <c r="V256" i="1" a="1"/>
  <c r="V256" i="1" s="1"/>
  <c r="W256" i="1" s="1"/>
  <c r="V255" i="1" a="1"/>
  <c r="V255" i="1" s="1"/>
  <c r="W255" i="1" s="1"/>
  <c r="V254" i="1" a="1"/>
  <c r="V254" i="1" s="1"/>
  <c r="W254" i="1" s="1"/>
  <c r="V253" i="1" a="1"/>
  <c r="V253" i="1" s="1"/>
  <c r="W253" i="1" s="1"/>
  <c r="V252" i="1" a="1"/>
  <c r="V252" i="1" s="1"/>
  <c r="W252" i="1" s="1"/>
  <c r="V251" i="1" a="1"/>
  <c r="V251" i="1" s="1"/>
  <c r="W251" i="1" s="1"/>
  <c r="V250" i="1" a="1"/>
  <c r="V250" i="1" s="1"/>
  <c r="W250" i="1" s="1"/>
  <c r="V249" i="1" a="1"/>
  <c r="V249" i="1" s="1"/>
  <c r="W249" i="1" s="1"/>
  <c r="V248" i="1" a="1"/>
  <c r="V248" i="1" s="1"/>
  <c r="W248" i="1" s="1"/>
  <c r="V247" i="1" a="1"/>
  <c r="V247" i="1" s="1"/>
  <c r="W247" i="1" s="1"/>
  <c r="V246" i="1" a="1"/>
  <c r="V246" i="1" s="1"/>
  <c r="W246" i="1" s="1"/>
  <c r="V245" i="1" a="1"/>
  <c r="V245" i="1" s="1"/>
  <c r="W245" i="1" s="1"/>
  <c r="V244" i="1" a="1"/>
  <c r="V244" i="1" s="1"/>
  <c r="W244" i="1" s="1"/>
  <c r="V243" i="1" a="1"/>
  <c r="V243" i="1" s="1"/>
  <c r="W243" i="1" s="1"/>
  <c r="V242" i="1" a="1"/>
  <c r="V242" i="1" s="1"/>
  <c r="W242" i="1" s="1"/>
  <c r="V241" i="1" a="1"/>
  <c r="V241" i="1" s="1"/>
  <c r="W241" i="1" s="1"/>
  <c r="V240" i="1" a="1"/>
  <c r="V240" i="1" s="1"/>
  <c r="W240" i="1" s="1"/>
  <c r="V239" i="1" a="1"/>
  <c r="V239" i="1" s="1"/>
  <c r="W239" i="1" s="1"/>
  <c r="V238" i="1" a="1"/>
  <c r="V238" i="1" s="1"/>
  <c r="W238" i="1" s="1"/>
  <c r="V237" i="1" a="1"/>
  <c r="V237" i="1" s="1"/>
  <c r="W237" i="1" s="1"/>
  <c r="V236" i="1" a="1"/>
  <c r="V236" i="1" s="1"/>
  <c r="W236" i="1" s="1"/>
  <c r="V235" i="1" a="1"/>
  <c r="V235" i="1" s="1"/>
  <c r="W235" i="1" s="1"/>
  <c r="V234" i="1" a="1"/>
  <c r="V234" i="1" s="1"/>
  <c r="W234" i="1" s="1"/>
  <c r="V233" i="1" a="1"/>
  <c r="V233" i="1" s="1"/>
  <c r="W233" i="1" s="1"/>
  <c r="V232" i="1" a="1"/>
  <c r="V232" i="1" s="1"/>
  <c r="W232" i="1" s="1"/>
  <c r="V231" i="1" a="1"/>
  <c r="V231" i="1" s="1"/>
  <c r="W231" i="1" s="1"/>
  <c r="V230" i="1" a="1"/>
  <c r="V230" i="1" s="1"/>
  <c r="W230" i="1" s="1"/>
  <c r="V229" i="1" a="1"/>
  <c r="V229" i="1" s="1"/>
  <c r="W229" i="1" s="1"/>
  <c r="V228" i="1" a="1"/>
  <c r="V228" i="1" s="1"/>
  <c r="W228" i="1" s="1"/>
  <c r="V227" i="1" a="1"/>
  <c r="V227" i="1" s="1"/>
  <c r="W227" i="1" s="1"/>
  <c r="V226" i="1" a="1"/>
  <c r="V226" i="1" s="1"/>
  <c r="W226" i="1" s="1"/>
  <c r="V225" i="1" a="1"/>
  <c r="V225" i="1" s="1"/>
  <c r="W225" i="1" s="1"/>
  <c r="V224" i="1" a="1"/>
  <c r="V224" i="1" s="1"/>
  <c r="W224" i="1" s="1"/>
  <c r="V223" i="1" a="1"/>
  <c r="V223" i="1" s="1"/>
  <c r="W223" i="1" s="1"/>
  <c r="V222" i="1" a="1"/>
  <c r="V222" i="1" s="1"/>
  <c r="W222" i="1" s="1"/>
  <c r="V221" i="1" a="1"/>
  <c r="V221" i="1" s="1"/>
  <c r="W221" i="1" s="1"/>
  <c r="V220" i="1" a="1"/>
  <c r="V220" i="1" s="1"/>
  <c r="W220" i="1" s="1"/>
  <c r="V219" i="1" a="1"/>
  <c r="V219" i="1" s="1"/>
  <c r="W219" i="1" s="1"/>
  <c r="V218" i="1" a="1"/>
  <c r="V218" i="1" s="1"/>
  <c r="W218" i="1" s="1"/>
  <c r="V217" i="1" a="1"/>
  <c r="V217" i="1" s="1"/>
  <c r="W217" i="1" s="1"/>
  <c r="V216" i="1" a="1"/>
  <c r="V216" i="1" s="1"/>
  <c r="W216" i="1" s="1"/>
  <c r="V215" i="1" a="1"/>
  <c r="V215" i="1" s="1"/>
  <c r="W215" i="1" s="1"/>
  <c r="V214" i="1" a="1"/>
  <c r="V214" i="1" s="1"/>
  <c r="W214" i="1" s="1"/>
  <c r="V213" i="1" a="1"/>
  <c r="V213" i="1" s="1"/>
  <c r="W213" i="1" s="1"/>
  <c r="V212" i="1" a="1"/>
  <c r="V212" i="1" s="1"/>
  <c r="W212" i="1" s="1"/>
  <c r="V211" i="1" a="1"/>
  <c r="V211" i="1" s="1"/>
  <c r="W211" i="1" s="1"/>
  <c r="V210" i="1" a="1"/>
  <c r="V210" i="1" s="1"/>
  <c r="W210" i="1" s="1"/>
  <c r="V209" i="1" a="1"/>
  <c r="V209" i="1" s="1"/>
  <c r="W209" i="1" s="1"/>
  <c r="V208" i="1" a="1"/>
  <c r="V208" i="1" s="1"/>
  <c r="W208" i="1" s="1"/>
  <c r="V207" i="1" a="1"/>
  <c r="V207" i="1" s="1"/>
  <c r="W207" i="1" s="1"/>
  <c r="V206" i="1" a="1"/>
  <c r="V206" i="1" s="1"/>
  <c r="W206" i="1" s="1"/>
  <c r="V205" i="1" a="1"/>
  <c r="V205" i="1" s="1"/>
  <c r="W205" i="1" s="1"/>
  <c r="V204" i="1" a="1"/>
  <c r="V204" i="1" s="1"/>
  <c r="W204" i="1" s="1"/>
  <c r="V203" i="1" a="1"/>
  <c r="V203" i="1" s="1"/>
  <c r="W203" i="1" s="1"/>
  <c r="V202" i="1" a="1"/>
  <c r="V202" i="1" s="1"/>
  <c r="W202" i="1" s="1"/>
  <c r="V201" i="1" a="1"/>
  <c r="V201" i="1" s="1"/>
  <c r="W201" i="1" s="1"/>
  <c r="V200" i="1" a="1"/>
  <c r="V200" i="1" s="1"/>
  <c r="W200" i="1" s="1"/>
  <c r="V199" i="1" a="1"/>
  <c r="V199" i="1" s="1"/>
  <c r="W199" i="1" s="1"/>
  <c r="V198" i="1" a="1"/>
  <c r="V198" i="1" s="1"/>
  <c r="W198" i="1" s="1"/>
  <c r="V197" i="1" a="1"/>
  <c r="V197" i="1" s="1"/>
  <c r="W197" i="1" s="1"/>
  <c r="V196" i="1" a="1"/>
  <c r="V196" i="1" s="1"/>
  <c r="W196" i="1" s="1"/>
  <c r="V195" i="1" a="1"/>
  <c r="V195" i="1" s="1"/>
  <c r="W195" i="1" s="1"/>
  <c r="V194" i="1" a="1"/>
  <c r="V194" i="1" s="1"/>
  <c r="W194" i="1" s="1"/>
  <c r="V193" i="1" a="1"/>
  <c r="V193" i="1" s="1"/>
  <c r="W193" i="1" s="1"/>
  <c r="V192" i="1" a="1"/>
  <c r="V192" i="1" s="1"/>
  <c r="W192" i="1" s="1"/>
  <c r="V191" i="1" a="1"/>
  <c r="V191" i="1" s="1"/>
  <c r="W191" i="1" s="1"/>
  <c r="V190" i="1" a="1"/>
  <c r="V190" i="1" s="1"/>
  <c r="W190" i="1" s="1"/>
  <c r="V189" i="1" a="1"/>
  <c r="V189" i="1" s="1"/>
  <c r="W189" i="1" s="1"/>
  <c r="V188" i="1" a="1"/>
  <c r="V188" i="1" s="1"/>
  <c r="W188" i="1" s="1"/>
  <c r="V187" i="1" a="1"/>
  <c r="V187" i="1" s="1"/>
  <c r="W187" i="1" s="1"/>
  <c r="V186" i="1" a="1"/>
  <c r="V186" i="1" s="1"/>
  <c r="W186" i="1" s="1"/>
  <c r="V185" i="1" a="1"/>
  <c r="V185" i="1" s="1"/>
  <c r="W185" i="1" s="1"/>
  <c r="V184" i="1" a="1"/>
  <c r="V184" i="1" s="1"/>
  <c r="W184" i="1" s="1"/>
  <c r="V183" i="1" a="1"/>
  <c r="V183" i="1" s="1"/>
  <c r="W183" i="1" s="1"/>
  <c r="V182" i="1" a="1"/>
  <c r="V182" i="1" s="1"/>
  <c r="W182" i="1" s="1"/>
  <c r="V181" i="1" a="1"/>
  <c r="V181" i="1" s="1"/>
  <c r="W181" i="1" s="1"/>
  <c r="V180" i="1" a="1"/>
  <c r="V180" i="1" s="1"/>
  <c r="W180" i="1" s="1"/>
  <c r="V179" i="1" a="1"/>
  <c r="V179" i="1" s="1"/>
  <c r="W179" i="1" s="1"/>
  <c r="V178" i="1" a="1"/>
  <c r="V178" i="1" s="1"/>
  <c r="W178" i="1" s="1"/>
  <c r="V177" i="1" a="1"/>
  <c r="V177" i="1" s="1"/>
  <c r="W177" i="1" s="1"/>
  <c r="V176" i="1" a="1"/>
  <c r="V176" i="1" s="1"/>
  <c r="W176" i="1" s="1"/>
  <c r="V175" i="1" a="1"/>
  <c r="V175" i="1" s="1"/>
  <c r="W175" i="1" s="1"/>
  <c r="V174" i="1" a="1"/>
  <c r="V174" i="1" s="1"/>
  <c r="W174" i="1" s="1"/>
  <c r="V173" i="1" a="1"/>
  <c r="V173" i="1" s="1"/>
  <c r="W173" i="1" s="1"/>
  <c r="V172" i="1" a="1"/>
  <c r="V172" i="1" s="1"/>
  <c r="W172" i="1" s="1"/>
  <c r="V171" i="1" a="1"/>
  <c r="V171" i="1" s="1"/>
  <c r="W171" i="1" s="1"/>
  <c r="V170" i="1" a="1"/>
  <c r="V170" i="1" s="1"/>
  <c r="W170" i="1" s="1"/>
  <c r="V169" i="1" a="1"/>
  <c r="V169" i="1" s="1"/>
  <c r="W169" i="1" s="1"/>
  <c r="V168" i="1" a="1"/>
  <c r="V168" i="1" s="1"/>
  <c r="W168" i="1" s="1"/>
  <c r="V167" i="1" a="1"/>
  <c r="V167" i="1" s="1"/>
  <c r="W167" i="1" s="1"/>
  <c r="V166" i="1" a="1"/>
  <c r="V166" i="1" s="1"/>
  <c r="W166" i="1" s="1"/>
  <c r="V165" i="1" a="1"/>
  <c r="V165" i="1" s="1"/>
  <c r="W165" i="1" s="1"/>
  <c r="V164" i="1" a="1"/>
  <c r="V164" i="1" s="1"/>
  <c r="W164" i="1" s="1"/>
  <c r="V163" i="1" a="1"/>
  <c r="V163" i="1" s="1"/>
  <c r="W163" i="1" s="1"/>
  <c r="V162" i="1" a="1"/>
  <c r="V162" i="1" s="1"/>
  <c r="W162" i="1" s="1"/>
  <c r="V161" i="1" a="1"/>
  <c r="V161" i="1" s="1"/>
  <c r="W161" i="1" s="1"/>
  <c r="V160" i="1" a="1"/>
  <c r="V160" i="1" s="1"/>
  <c r="W160" i="1" s="1"/>
  <c r="V159" i="1" a="1"/>
  <c r="V159" i="1" s="1"/>
  <c r="W159" i="1" s="1"/>
  <c r="V158" i="1" a="1"/>
  <c r="V158" i="1" s="1"/>
  <c r="W158" i="1" s="1"/>
  <c r="V157" i="1" a="1"/>
  <c r="V157" i="1" s="1"/>
  <c r="W157" i="1" s="1"/>
  <c r="V156" i="1" a="1"/>
  <c r="V156" i="1" s="1"/>
  <c r="W156" i="1" s="1"/>
  <c r="V155" i="1" a="1"/>
  <c r="V155" i="1" s="1"/>
  <c r="W155" i="1" s="1"/>
  <c r="V154" i="1" a="1"/>
  <c r="V154" i="1" s="1"/>
  <c r="W154" i="1" s="1"/>
  <c r="V153" i="1" a="1"/>
  <c r="V153" i="1" s="1"/>
  <c r="W153" i="1" s="1"/>
  <c r="V152" i="1" a="1"/>
  <c r="V152" i="1" s="1"/>
  <c r="W152" i="1" s="1"/>
  <c r="V151" i="1" a="1"/>
  <c r="V151" i="1" s="1"/>
  <c r="W151" i="1" s="1"/>
  <c r="V150" i="1" a="1"/>
  <c r="V150" i="1" s="1"/>
  <c r="W150" i="1" s="1"/>
  <c r="V149" i="1" a="1"/>
  <c r="V149" i="1" s="1"/>
  <c r="W149" i="1" s="1"/>
  <c r="V148" i="1" a="1"/>
  <c r="V148" i="1" s="1"/>
  <c r="W148" i="1" s="1"/>
  <c r="V147" i="1" a="1"/>
  <c r="V147" i="1" s="1"/>
  <c r="W147" i="1" s="1"/>
  <c r="V146" i="1" a="1"/>
  <c r="V146" i="1" s="1"/>
  <c r="W146" i="1" s="1"/>
  <c r="V145" i="1" a="1"/>
  <c r="V145" i="1" s="1"/>
  <c r="W145" i="1" s="1"/>
  <c r="V144" i="1" a="1"/>
  <c r="V144" i="1" s="1"/>
  <c r="W144" i="1" s="1"/>
  <c r="V143" i="1" a="1"/>
  <c r="V143" i="1" s="1"/>
  <c r="W143" i="1" s="1"/>
  <c r="V142" i="1" a="1"/>
  <c r="V142" i="1" s="1"/>
  <c r="W142" i="1" s="1"/>
  <c r="V141" i="1" a="1"/>
  <c r="V141" i="1" s="1"/>
  <c r="W141" i="1" s="1"/>
  <c r="V140" i="1" a="1"/>
  <c r="V140" i="1" s="1"/>
  <c r="W140" i="1" s="1"/>
  <c r="V139" i="1" a="1"/>
  <c r="V139" i="1" s="1"/>
  <c r="W139" i="1" s="1"/>
  <c r="V138" i="1" a="1"/>
  <c r="V138" i="1" s="1"/>
  <c r="W138" i="1" s="1"/>
  <c r="V137" i="1" a="1"/>
  <c r="V137" i="1" s="1"/>
  <c r="W137" i="1" s="1"/>
  <c r="V136" i="1" a="1"/>
  <c r="V136" i="1" s="1"/>
  <c r="W136" i="1" s="1"/>
  <c r="V135" i="1" a="1"/>
  <c r="V135" i="1" s="1"/>
  <c r="W135" i="1" s="1"/>
  <c r="V134" i="1" a="1"/>
  <c r="V134" i="1" s="1"/>
  <c r="W134" i="1" s="1"/>
  <c r="V133" i="1" a="1"/>
  <c r="V133" i="1" s="1"/>
  <c r="W133" i="1" s="1"/>
  <c r="V132" i="1" a="1"/>
  <c r="V132" i="1" s="1"/>
  <c r="W132" i="1" s="1"/>
  <c r="V131" i="1" a="1"/>
  <c r="V131" i="1" s="1"/>
  <c r="W131" i="1" s="1"/>
  <c r="V130" i="1" a="1"/>
  <c r="V130" i="1" s="1"/>
  <c r="W130" i="1" s="1"/>
  <c r="V129" i="1" a="1"/>
  <c r="V129" i="1" s="1"/>
  <c r="W129" i="1" s="1"/>
  <c r="V128" i="1" a="1"/>
  <c r="V128" i="1" s="1"/>
  <c r="W128" i="1" s="1"/>
  <c r="V127" i="1" a="1"/>
  <c r="V127" i="1" s="1"/>
  <c r="W127" i="1" s="1"/>
  <c r="V126" i="1" a="1"/>
  <c r="V126" i="1" s="1"/>
  <c r="W126" i="1" s="1"/>
  <c r="V125" i="1" a="1"/>
  <c r="V125" i="1" s="1"/>
  <c r="W125" i="1" s="1"/>
  <c r="V124" i="1" a="1"/>
  <c r="V124" i="1" s="1"/>
  <c r="W124" i="1" s="1"/>
  <c r="V123" i="1" a="1"/>
  <c r="V123" i="1" s="1"/>
  <c r="W123" i="1" s="1"/>
  <c r="V122" i="1" a="1"/>
  <c r="V122" i="1" s="1"/>
  <c r="W122" i="1" s="1"/>
  <c r="V121" i="1" a="1"/>
  <c r="V121" i="1" s="1"/>
  <c r="W121" i="1" s="1"/>
  <c r="V120" i="1" a="1"/>
  <c r="V120" i="1" s="1"/>
  <c r="W120" i="1" s="1"/>
  <c r="V119" i="1" a="1"/>
  <c r="V119" i="1" s="1"/>
  <c r="W119" i="1" s="1"/>
  <c r="V118" i="1" a="1"/>
  <c r="V118" i="1" s="1"/>
  <c r="W118" i="1" s="1"/>
  <c r="V117" i="1" a="1"/>
  <c r="V117" i="1" s="1"/>
  <c r="W117" i="1" s="1"/>
  <c r="V116" i="1" a="1"/>
  <c r="V116" i="1" s="1"/>
  <c r="W116" i="1" s="1"/>
  <c r="V115" i="1" a="1"/>
  <c r="V115" i="1" s="1"/>
  <c r="W115" i="1" s="1"/>
  <c r="V114" i="1" a="1"/>
  <c r="V114" i="1" s="1"/>
  <c r="W114" i="1" s="1"/>
  <c r="V113" i="1" a="1"/>
  <c r="V113" i="1" s="1"/>
  <c r="W113" i="1" s="1"/>
  <c r="V112" i="1" a="1"/>
  <c r="V112" i="1" s="1"/>
  <c r="W112" i="1" s="1"/>
  <c r="V111" i="1" a="1"/>
  <c r="V111" i="1" s="1"/>
  <c r="W111" i="1" s="1"/>
  <c r="V110" i="1" a="1"/>
  <c r="V110" i="1" s="1"/>
  <c r="W110" i="1" s="1"/>
  <c r="V109" i="1" a="1"/>
  <c r="V109" i="1" s="1"/>
  <c r="W109" i="1" s="1"/>
  <c r="V108" i="1" a="1"/>
  <c r="V108" i="1" s="1"/>
  <c r="W108" i="1" s="1"/>
  <c r="V107" i="1" a="1"/>
  <c r="V107" i="1" s="1"/>
  <c r="W107" i="1" s="1"/>
  <c r="V106" i="1" a="1"/>
  <c r="V106" i="1" s="1"/>
  <c r="W106" i="1" s="1"/>
  <c r="V105" i="1" a="1"/>
  <c r="V105" i="1" s="1"/>
  <c r="W105" i="1" s="1"/>
  <c r="V104" i="1" a="1"/>
  <c r="V104" i="1" s="1"/>
  <c r="W104" i="1" s="1"/>
  <c r="V103" i="1" a="1"/>
  <c r="V103" i="1" s="1"/>
  <c r="W103" i="1" s="1"/>
  <c r="V102" i="1" a="1"/>
  <c r="V102" i="1" s="1"/>
  <c r="W102" i="1" s="1"/>
  <c r="V101" i="1" a="1"/>
  <c r="V101" i="1" s="1"/>
  <c r="W101" i="1" s="1"/>
  <c r="V100" i="1" a="1"/>
  <c r="V100" i="1" s="1"/>
  <c r="W100" i="1" s="1"/>
  <c r="V99" i="1" a="1"/>
  <c r="V99" i="1" s="1"/>
  <c r="W99" i="1" s="1"/>
  <c r="V98" i="1" a="1"/>
  <c r="V98" i="1" s="1"/>
  <c r="W98" i="1" s="1"/>
  <c r="V97" i="1" a="1"/>
  <c r="V97" i="1" s="1"/>
  <c r="W97" i="1" s="1"/>
  <c r="V96" i="1" a="1"/>
  <c r="V96" i="1" s="1"/>
  <c r="W96" i="1" s="1"/>
  <c r="V95" i="1" a="1"/>
  <c r="V95" i="1" s="1"/>
  <c r="W95" i="1" s="1"/>
  <c r="V94" i="1" a="1"/>
  <c r="V94" i="1" s="1"/>
  <c r="W94" i="1" s="1"/>
  <c r="V93" i="1" a="1"/>
  <c r="V93" i="1" s="1"/>
  <c r="W93" i="1" s="1"/>
  <c r="V92" i="1" a="1"/>
  <c r="V92" i="1" s="1"/>
  <c r="W92" i="1" s="1"/>
  <c r="V91" i="1" a="1"/>
  <c r="V91" i="1" s="1"/>
  <c r="W91" i="1" s="1"/>
  <c r="V90" i="1" a="1"/>
  <c r="V90" i="1" s="1"/>
  <c r="W90" i="1" s="1"/>
  <c r="V89" i="1" a="1"/>
  <c r="V89" i="1" s="1"/>
  <c r="W89" i="1" s="1"/>
  <c r="V88" i="1" a="1"/>
  <c r="V88" i="1" s="1"/>
  <c r="W88" i="1" s="1"/>
  <c r="V87" i="1" a="1"/>
  <c r="V87" i="1" s="1"/>
  <c r="W87" i="1" s="1"/>
  <c r="V86" i="1" a="1"/>
  <c r="V86" i="1" s="1"/>
  <c r="W86" i="1" s="1"/>
  <c r="V85" i="1" a="1"/>
  <c r="V85" i="1" s="1"/>
  <c r="W85" i="1" s="1"/>
  <c r="V84" i="1" a="1"/>
  <c r="V84" i="1" s="1"/>
  <c r="W84" i="1" s="1"/>
  <c r="V83" i="1" a="1"/>
  <c r="V83" i="1" s="1"/>
  <c r="W83" i="1" s="1"/>
  <c r="V82" i="1" a="1"/>
  <c r="V82" i="1" s="1"/>
  <c r="W82" i="1" s="1"/>
  <c r="V81" i="1" a="1"/>
  <c r="V81" i="1" s="1"/>
  <c r="W81" i="1" s="1"/>
  <c r="V80" i="1" a="1"/>
  <c r="V80" i="1" s="1"/>
  <c r="W80" i="1" s="1"/>
  <c r="V79" i="1" a="1"/>
  <c r="V79" i="1" s="1"/>
  <c r="W79" i="1" s="1"/>
  <c r="V78" i="1" a="1"/>
  <c r="V78" i="1" s="1"/>
  <c r="W78" i="1" s="1"/>
  <c r="V77" i="1" a="1"/>
  <c r="V77" i="1" s="1"/>
  <c r="W77" i="1" s="1"/>
  <c r="V76" i="1" a="1"/>
  <c r="V76" i="1" s="1"/>
  <c r="W76" i="1" s="1"/>
  <c r="V75" i="1" a="1"/>
  <c r="V75" i="1" s="1"/>
  <c r="W75" i="1" s="1"/>
  <c r="V74" i="1" a="1"/>
  <c r="V74" i="1" s="1"/>
  <c r="W74" i="1" s="1"/>
  <c r="V73" i="1" a="1"/>
  <c r="V73" i="1" s="1"/>
  <c r="W73" i="1" s="1"/>
  <c r="V71" i="1" a="1"/>
  <c r="V71" i="1" s="1"/>
  <c r="W71" i="1" s="1"/>
  <c r="V70" i="1" a="1"/>
  <c r="V70" i="1" s="1"/>
  <c r="W70" i="1" s="1"/>
  <c r="V69" i="1" a="1"/>
  <c r="V69" i="1" s="1"/>
  <c r="W69" i="1" s="1"/>
  <c r="V68" i="1" a="1"/>
  <c r="V68" i="1" s="1"/>
  <c r="W68" i="1" s="1"/>
  <c r="V67" i="1" a="1"/>
  <c r="V67" i="1" s="1"/>
  <c r="W67" i="1" s="1"/>
  <c r="V66" i="1" a="1"/>
  <c r="V66" i="1" s="1"/>
  <c r="W66" i="1" s="1"/>
  <c r="V65" i="1" a="1"/>
  <c r="V65" i="1" s="1"/>
  <c r="W65" i="1" s="1"/>
  <c r="V64" i="1" a="1"/>
  <c r="V64" i="1" s="1"/>
  <c r="W64" i="1" s="1"/>
  <c r="V63" i="1" a="1"/>
  <c r="V63" i="1" s="1"/>
  <c r="W63" i="1" s="1"/>
  <c r="V62" i="1" a="1"/>
  <c r="V62" i="1" s="1"/>
  <c r="W62" i="1" s="1"/>
  <c r="V61" i="1" a="1"/>
  <c r="V61" i="1" s="1"/>
  <c r="W61" i="1" s="1"/>
  <c r="V60" i="1" a="1"/>
  <c r="V60" i="1" s="1"/>
  <c r="W60" i="1" s="1"/>
  <c r="V59" i="1" a="1"/>
  <c r="V59" i="1" s="1"/>
  <c r="W59" i="1" s="1"/>
  <c r="V58" i="1" a="1"/>
  <c r="V58" i="1" s="1"/>
  <c r="W58" i="1" s="1"/>
  <c r="V57" i="1" a="1"/>
  <c r="V57" i="1" s="1"/>
  <c r="W57" i="1" s="1"/>
  <c r="V56" i="1" a="1"/>
  <c r="V56" i="1" s="1"/>
  <c r="W56" i="1" s="1"/>
  <c r="V55" i="1" a="1"/>
  <c r="V55" i="1" s="1"/>
  <c r="W55" i="1" s="1"/>
  <c r="V54" i="1" a="1"/>
  <c r="V54" i="1" s="1"/>
  <c r="W54" i="1" s="1"/>
  <c r="V53" i="1" a="1"/>
  <c r="V53" i="1" s="1"/>
  <c r="W53" i="1" s="1"/>
  <c r="V52" i="1" a="1"/>
  <c r="V52" i="1" s="1"/>
  <c r="W52" i="1" s="1"/>
  <c r="V51" i="1" a="1"/>
  <c r="V51" i="1" s="1"/>
  <c r="W51" i="1" s="1"/>
  <c r="V50" i="1" a="1"/>
  <c r="V50" i="1" s="1"/>
  <c r="W50" i="1" s="1"/>
  <c r="V49" i="1" a="1"/>
  <c r="V49" i="1" s="1"/>
  <c r="W49" i="1" s="1"/>
  <c r="V48" i="1" a="1"/>
  <c r="V48" i="1" s="1"/>
  <c r="W48" i="1" s="1"/>
  <c r="V47" i="1" a="1"/>
  <c r="V47" i="1" s="1"/>
  <c r="W47" i="1" s="1"/>
  <c r="V46" i="1" a="1"/>
  <c r="V46" i="1" s="1"/>
  <c r="W46" i="1" s="1"/>
  <c r="V45" i="1" a="1"/>
  <c r="V45" i="1" s="1"/>
  <c r="W45" i="1" s="1"/>
  <c r="V44" i="1" a="1"/>
  <c r="V44" i="1" s="1"/>
  <c r="W44" i="1" s="1"/>
  <c r="V43" i="1" a="1"/>
  <c r="V43" i="1" s="1"/>
  <c r="W43" i="1" s="1"/>
  <c r="V42" i="1" a="1"/>
  <c r="V42" i="1" s="1"/>
  <c r="W42" i="1" s="1"/>
  <c r="V41" i="1" a="1"/>
  <c r="V41" i="1" s="1"/>
  <c r="W41" i="1" s="1"/>
  <c r="V40" i="1" a="1"/>
  <c r="V40" i="1" s="1"/>
  <c r="W40" i="1" s="1"/>
  <c r="V39" i="1" a="1"/>
  <c r="V39" i="1" s="1"/>
  <c r="W39" i="1" s="1"/>
  <c r="V38" i="1" a="1"/>
  <c r="V38" i="1" s="1"/>
  <c r="W38" i="1" s="1"/>
  <c r="V37" i="1" a="1"/>
  <c r="V37" i="1" s="1"/>
  <c r="W37" i="1" s="1"/>
  <c r="V36" i="1" a="1"/>
  <c r="V36" i="1" s="1"/>
  <c r="W36" i="1" s="1"/>
  <c r="V35" i="1" a="1"/>
  <c r="V35" i="1" s="1"/>
  <c r="W35" i="1" s="1"/>
  <c r="V34" i="1" a="1"/>
  <c r="V34" i="1" s="1"/>
  <c r="W34" i="1" s="1"/>
  <c r="V33" i="1" a="1"/>
  <c r="V33" i="1" s="1"/>
  <c r="W33" i="1" s="1"/>
  <c r="V32" i="1" a="1"/>
  <c r="V32" i="1" s="1"/>
  <c r="W32" i="1" s="1"/>
  <c r="V31" i="1" a="1"/>
  <c r="V31" i="1" s="1"/>
  <c r="W31" i="1" s="1"/>
  <c r="V30" i="1" a="1"/>
  <c r="V30" i="1" s="1"/>
  <c r="W30" i="1" s="1"/>
  <c r="V29" i="1" a="1"/>
  <c r="V29" i="1" s="1"/>
  <c r="W29" i="1" s="1"/>
  <c r="V28" i="1" a="1"/>
  <c r="V28" i="1" s="1"/>
  <c r="W28" i="1" s="1"/>
  <c r="V27" i="1" a="1"/>
  <c r="V27" i="1" s="1"/>
  <c r="W27" i="1" s="1"/>
  <c r="V26" i="1" a="1"/>
  <c r="V26" i="1" s="1"/>
  <c r="W26" i="1" s="1"/>
  <c r="V25" i="1" a="1"/>
  <c r="V25" i="1" s="1"/>
  <c r="W25" i="1" s="1"/>
  <c r="V24" i="1" a="1"/>
  <c r="V24" i="1" s="1"/>
  <c r="W24" i="1" s="1"/>
  <c r="V23" i="1" a="1"/>
  <c r="V23" i="1" s="1"/>
  <c r="W23" i="1" s="1"/>
  <c r="V22" i="1" a="1"/>
  <c r="V22" i="1" s="1"/>
  <c r="W22" i="1" s="1"/>
  <c r="V21" i="1" a="1"/>
  <c r="V21" i="1" s="1"/>
  <c r="W21" i="1" s="1"/>
  <c r="V20" i="1" a="1"/>
  <c r="V20" i="1" s="1"/>
  <c r="W20" i="1" s="1"/>
  <c r="V19" i="1" a="1"/>
  <c r="V19" i="1" s="1"/>
  <c r="W19" i="1" s="1"/>
  <c r="V18" i="1" a="1"/>
  <c r="V18" i="1" s="1"/>
  <c r="W18" i="1" s="1"/>
  <c r="V17" i="1" a="1"/>
  <c r="V17" i="1" s="1"/>
  <c r="W17" i="1" s="1"/>
  <c r="V16" i="1" a="1"/>
  <c r="V16" i="1" s="1"/>
  <c r="W16" i="1" s="1"/>
  <c r="V15" i="1" a="1"/>
  <c r="V15" i="1" s="1"/>
  <c r="W15" i="1" s="1"/>
  <c r="V14" i="1" a="1"/>
  <c r="V14" i="1" s="1"/>
  <c r="W14" i="1" s="1"/>
  <c r="V13" i="1" a="1"/>
  <c r="V13" i="1" s="1"/>
  <c r="W13" i="1" s="1"/>
  <c r="V12" i="1" a="1"/>
  <c r="V12" i="1" s="1"/>
  <c r="W12" i="1" s="1"/>
  <c r="V11" i="1" a="1"/>
  <c r="V11" i="1" s="1"/>
  <c r="W11" i="1" s="1"/>
  <c r="V10" i="1" a="1"/>
  <c r="V10" i="1" s="1"/>
  <c r="W10" i="1" s="1"/>
  <c r="V9" i="1" a="1"/>
  <c r="V9" i="1" s="1"/>
  <c r="W9" i="1" s="1"/>
  <c r="V8" i="1" a="1"/>
  <c r="V8" i="1" s="1"/>
  <c r="W8" i="1" s="1"/>
  <c r="V7" i="1" a="1"/>
  <c r="V7" i="1" s="1"/>
  <c r="W7" i="1" s="1"/>
  <c r="V6" i="1" a="1"/>
  <c r="V6" i="1" s="1"/>
  <c r="W6" i="1" s="1"/>
  <c r="V5" i="1" a="1"/>
  <c r="V5" i="1" s="1"/>
  <c r="W5" i="1" s="1"/>
  <c r="V4" i="1" a="1"/>
  <c r="V4" i="1" s="1"/>
  <c r="W4" i="1" s="1"/>
  <c r="U2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<sst xmlns="http://schemas.openxmlformats.org/spreadsheetml/2006/main" count="35" uniqueCount="22">
  <si>
    <t>IC1</t>
  </si>
  <si>
    <t>IC2</t>
  </si>
  <si>
    <t>IC3</t>
  </si>
  <si>
    <t>ENERGY</t>
  </si>
  <si>
    <t>TH0</t>
  </si>
  <si>
    <t>V_TH0</t>
  </si>
  <si>
    <t>TH1</t>
  </si>
  <si>
    <t>VTH1</t>
  </si>
  <si>
    <t>TH2</t>
  </si>
  <si>
    <t>VTH2</t>
  </si>
  <si>
    <t>| Vsignal | (V)</t>
  </si>
  <si>
    <t>ADC Value</t>
  </si>
  <si>
    <t>air gap (mm)</t>
  </si>
  <si>
    <t>Energy (eV)</t>
  </si>
  <si>
    <t>interpolated energy (eV)</t>
  </si>
  <si>
    <t>(Vth_BL=90)</t>
  </si>
  <si>
    <t>(Vth_BL = 88)</t>
  </si>
  <si>
    <t>(Vth_BL = 96)</t>
  </si>
  <si>
    <t>Abeast</t>
  </si>
  <si>
    <t>Threshold</t>
  </si>
  <si>
    <t>Colonne</t>
  </si>
  <si>
    <t>Energy &lt;=&gt; Vsignal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</si>
</sst>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b/>
      <sz val="11"/>
      <color rgb="FFFFFFFF"/>
      <name val="Calibri"/>
      <family val="2"/>
    </font>
    <font>
      <sz val="10"/>
      <color theme="0"/>
      <name val="Liberation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FF00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rgb="FFFF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theme="1"/>
      </top>
      <bottom style="medium">
        <color rgb="FFFF0000"/>
      </bottom>
      <diagonal/>
    </border>
    <border>
      <left/>
      <right style="thin">
        <color rgb="FF000000"/>
      </right>
      <top/>
      <bottom/>
      <diagonal/>
    </border>
  </borders>
  <cellStyleXfs count="20">
    <xf numFmtId="0" fontId="0" fillId="0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44">
    <xf numFmtId="0" fontId="0" fillId="0" borderId="0" xfId="0"/>
    <xf numFmtId="0" fontId="14" fillId="2" borderId="2" xfId="0" applyFont="1" applyFill="1" applyBorder="1"/>
    <xf numFmtId="0" fontId="14" fillId="2" borderId="3" xfId="0" applyFont="1" applyFill="1" applyBorder="1"/>
    <xf numFmtId="0" fontId="0" fillId="2" borderId="0" xfId="0" applyFill="1"/>
    <xf numFmtId="0" fontId="14" fillId="2" borderId="4" xfId="0" applyFont="1" applyFill="1" applyBorder="1"/>
    <xf numFmtId="0" fontId="0" fillId="9" borderId="0" xfId="0" applyFill="1" applyAlignment="1">
      <alignment vertical="center" wrapText="1"/>
    </xf>
    <xf numFmtId="0" fontId="0" fillId="9" borderId="0" xfId="0" applyFill="1"/>
    <xf numFmtId="0" fontId="0" fillId="9" borderId="2" xfId="0" applyFill="1" applyBorder="1"/>
    <xf numFmtId="0" fontId="0" fillId="9" borderId="4" xfId="0" applyFill="1" applyBorder="1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14" fillId="2" borderId="0" xfId="0" applyFont="1" applyFill="1"/>
    <xf numFmtId="0" fontId="0" fillId="10" borderId="0" xfId="0" applyFill="1"/>
    <xf numFmtId="0" fontId="0" fillId="11" borderId="0" xfId="0" applyFill="1"/>
    <xf numFmtId="0" fontId="15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4" fillId="11" borderId="0" xfId="0" applyFont="1" applyFill="1"/>
    <xf numFmtId="0" fontId="14" fillId="2" borderId="9" xfId="0" applyFont="1" applyFill="1" applyBorder="1"/>
    <xf numFmtId="0" fontId="14" fillId="2" borderId="10" xfId="0" applyFont="1" applyFill="1" applyBorder="1"/>
    <xf numFmtId="0" fontId="14" fillId="2" borderId="11" xfId="0" applyFont="1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0" borderId="14" xfId="0" applyBorder="1"/>
    <xf numFmtId="0" fontId="0" fillId="0" borderId="26" xfId="0" applyBorder="1"/>
    <xf numFmtId="0" fontId="0" fillId="12" borderId="0" xfId="0" applyFill="1"/>
    <xf numFmtId="0" fontId="0" fillId="13" borderId="0" xfId="0" applyFill="1"/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Default" xfId="7" xr:uid="{00000000-0005-0000-0000-000005000000}"/>
    <cellStyle name="Error" xfId="8" xr:uid="{00000000-0005-0000-0000-000006000000}"/>
    <cellStyle name="Footnote" xfId="9" xr:uid="{00000000-0005-0000-0000-000007000000}"/>
    <cellStyle name="Good" xfId="10" xr:uid="{00000000-0005-0000-0000-000008000000}"/>
    <cellStyle name="Heading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5" xr:uid="{00000000-0005-0000-0000-00000D000000}"/>
    <cellStyle name="Normal" xfId="0" builtinId="0" customBuiltin="1"/>
    <cellStyle name="Note" xfId="1" builtinId="10" customBuiltin="1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141915</xdr:colOff>
      <xdr:row>1</xdr:row>
      <xdr:rowOff>101599</xdr:rowOff>
    </xdr:from>
    <xdr:to>
      <xdr:col>38</xdr:col>
      <xdr:colOff>0</xdr:colOff>
      <xdr:row>34</xdr:row>
      <xdr:rowOff>130134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08A7342-8995-4D39-BE0B-C7812595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00315" y="285749"/>
          <a:ext cx="7986085" cy="5292685"/>
        </a:xfrm>
        <a:prstGeom prst="rect">
          <a:avLst/>
        </a:prstGeom>
      </xdr:spPr>
    </xdr:pic>
    <xdr:clientData/>
  </xdr:twoCellAnchor>
  <xdr:twoCellAnchor editAs="oneCell">
    <xdr:from>
      <xdr:col>28</xdr:col>
      <xdr:colOff>133350</xdr:colOff>
      <xdr:row>34</xdr:row>
      <xdr:rowOff>76199</xdr:rowOff>
    </xdr:from>
    <xdr:to>
      <xdr:col>38</xdr:col>
      <xdr:colOff>19050</xdr:colOff>
      <xdr:row>67</xdr:row>
      <xdr:rowOff>148436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CC04E8C9-054D-42EE-862D-D211BCDF6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91750" y="5524499"/>
          <a:ext cx="8013700" cy="5310987"/>
        </a:xfrm>
        <a:prstGeom prst="rect">
          <a:avLst/>
        </a:prstGeom>
      </xdr:spPr>
    </xdr:pic>
    <xdr:clientData/>
  </xdr:twoCellAnchor>
  <xdr:twoCellAnchor editAs="oneCell">
    <xdr:from>
      <xdr:col>28</xdr:col>
      <xdr:colOff>127000</xdr:colOff>
      <xdr:row>66</xdr:row>
      <xdr:rowOff>120649</xdr:rowOff>
    </xdr:from>
    <xdr:to>
      <xdr:col>38</xdr:col>
      <xdr:colOff>12700</xdr:colOff>
      <xdr:row>100</xdr:row>
      <xdr:rowOff>34136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1BF1A94F-2562-4D52-878C-D99DD1485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85400" y="10648949"/>
          <a:ext cx="8013700" cy="5310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8"/>
  <sheetViews>
    <sheetView tabSelected="1" workbookViewId="0">
      <selection activeCell="A18" sqref="A18:XFD18"/>
    </sheetView>
  </sheetViews>
  <sheetFormatPr baseColWidth="10" defaultColWidth="11.6328125" defaultRowHeight="12.5" x14ac:dyDescent="0.25"/>
  <cols>
    <col min="1" max="18" width="11.6328125" customWidth="1"/>
    <col min="19" max="21" width="11.6328125" style="15" customWidth="1"/>
    <col min="22" max="27" width="11.6328125" customWidth="1"/>
  </cols>
  <sheetData>
    <row r="1" spans="1:39" ht="14.5" x14ac:dyDescent="0.35">
      <c r="A1" s="1" t="s">
        <v>0</v>
      </c>
      <c r="B1" s="2" t="s">
        <v>17</v>
      </c>
      <c r="C1" s="2"/>
      <c r="D1" s="2"/>
      <c r="E1" s="1"/>
      <c r="F1" s="1"/>
      <c r="G1" s="1" t="s">
        <v>1</v>
      </c>
      <c r="H1" s="2" t="s">
        <v>16</v>
      </c>
      <c r="I1" s="2"/>
      <c r="J1" s="2"/>
      <c r="K1" s="1"/>
      <c r="L1" s="1"/>
      <c r="M1" s="1" t="s">
        <v>2</v>
      </c>
      <c r="N1" s="2" t="s">
        <v>15</v>
      </c>
      <c r="O1" s="2"/>
      <c r="P1" s="2"/>
      <c r="Q1" s="1"/>
      <c r="R1" s="1"/>
      <c r="S1" s="14" t="s">
        <v>18</v>
      </c>
      <c r="T1" s="14" t="s">
        <v>19</v>
      </c>
      <c r="U1" s="14" t="s">
        <v>20</v>
      </c>
      <c r="V1" s="3" t="s">
        <v>3</v>
      </c>
      <c r="W1" s="3"/>
      <c r="X1" s="16"/>
      <c r="Y1" s="17" t="s">
        <v>21</v>
      </c>
      <c r="Z1" s="18"/>
      <c r="AA1" s="18"/>
      <c r="AB1" s="19"/>
    </row>
    <row r="2" spans="1:39" ht="14.5" x14ac:dyDescent="0.35">
      <c r="A2" s="1" t="s">
        <v>4</v>
      </c>
      <c r="B2" s="2" t="s">
        <v>5</v>
      </c>
      <c r="C2" s="2" t="s">
        <v>6</v>
      </c>
      <c r="D2" s="2" t="s">
        <v>7</v>
      </c>
      <c r="E2" s="1" t="s">
        <v>8</v>
      </c>
      <c r="F2" s="1" t="s">
        <v>9</v>
      </c>
      <c r="G2" s="1" t="s">
        <v>4</v>
      </c>
      <c r="H2" s="2" t="s">
        <v>5</v>
      </c>
      <c r="I2" s="2" t="s">
        <v>6</v>
      </c>
      <c r="J2" s="2" t="s">
        <v>7</v>
      </c>
      <c r="K2" s="1" t="s">
        <v>8</v>
      </c>
      <c r="L2" s="1" t="s">
        <v>9</v>
      </c>
      <c r="M2" s="1" t="s">
        <v>4</v>
      </c>
      <c r="N2" s="2" t="s">
        <v>5</v>
      </c>
      <c r="O2" s="2" t="s">
        <v>6</v>
      </c>
      <c r="P2" s="2" t="s">
        <v>7</v>
      </c>
      <c r="Q2" s="1" t="s">
        <v>8</v>
      </c>
      <c r="R2" s="1" t="s">
        <v>9</v>
      </c>
      <c r="S2">
        <v>1</v>
      </c>
      <c r="T2">
        <v>0</v>
      </c>
      <c r="U2">
        <f>2+2*((S2-1)*3+T2)</f>
        <v>2</v>
      </c>
      <c r="V2" s="1" t="s">
        <v>10</v>
      </c>
      <c r="W2" s="4" t="s">
        <v>11</v>
      </c>
      <c r="X2" s="20"/>
      <c r="Y2" s="21" t="s">
        <v>10</v>
      </c>
      <c r="Z2" s="22" t="s">
        <v>12</v>
      </c>
      <c r="AA2" s="22" t="s">
        <v>13</v>
      </c>
      <c r="AB2" s="23" t="s">
        <v>14</v>
      </c>
    </row>
    <row r="3" spans="1:39" s="6" customFormat="1" x14ac:dyDescent="0.25">
      <c r="A3" s="5">
        <v>255</v>
      </c>
      <c r="B3" s="42">
        <v>1.5029330000000001</v>
      </c>
      <c r="C3" s="6">
        <v>248</v>
      </c>
      <c r="D3" s="42">
        <v>1.502019</v>
      </c>
      <c r="E3" s="5">
        <v>245</v>
      </c>
      <c r="F3" s="42">
        <v>1.5026459999999999</v>
      </c>
      <c r="G3" s="5">
        <v>255</v>
      </c>
      <c r="H3" s="42">
        <v>1.4365159999999999</v>
      </c>
      <c r="I3" s="42">
        <v>245</v>
      </c>
      <c r="J3" s="42">
        <v>1.435754</v>
      </c>
      <c r="K3" s="42">
        <v>245</v>
      </c>
      <c r="L3" s="42">
        <v>1.4373880000000001</v>
      </c>
      <c r="M3" s="5">
        <v>255</v>
      </c>
      <c r="N3" s="42">
        <v>1.488909</v>
      </c>
      <c r="O3" s="42">
        <v>243</v>
      </c>
      <c r="P3" s="42">
        <v>1.488429</v>
      </c>
      <c r="Q3" s="42">
        <v>249</v>
      </c>
      <c r="R3" s="42">
        <v>1.4896510000000001</v>
      </c>
      <c r="S3" s="43"/>
      <c r="T3" s="43"/>
      <c r="U3" s="43"/>
      <c r="V3" s="7">
        <v>0</v>
      </c>
      <c r="W3" s="8">
        <v>0</v>
      </c>
      <c r="Y3" s="24">
        <v>0</v>
      </c>
      <c r="Z3" s="25"/>
      <c r="AA3" s="26"/>
      <c r="AB3" s="27"/>
      <c r="AM3" s="42"/>
    </row>
    <row r="4" spans="1:39" x14ac:dyDescent="0.25">
      <c r="A4" s="9">
        <v>254</v>
      </c>
      <c r="B4">
        <v>1.500194</v>
      </c>
      <c r="C4">
        <f>C3-1</f>
        <v>247</v>
      </c>
      <c r="D4">
        <v>1.499509</v>
      </c>
      <c r="E4" s="9">
        <f>E3-1</f>
        <v>244</v>
      </c>
      <c r="F4">
        <v>1.499997</v>
      </c>
      <c r="G4" s="9">
        <v>254</v>
      </c>
      <c r="H4">
        <v>1.4337519999999999</v>
      </c>
      <c r="I4">
        <v>244</v>
      </c>
      <c r="J4">
        <v>1.4327719999999999</v>
      </c>
      <c r="K4">
        <v>244</v>
      </c>
      <c r="L4">
        <v>1.435246</v>
      </c>
      <c r="M4" s="9">
        <v>254</v>
      </c>
      <c r="N4">
        <v>1.485976</v>
      </c>
      <c r="O4">
        <v>242</v>
      </c>
      <c r="P4">
        <v>1.4863</v>
      </c>
      <c r="Q4">
        <v>248</v>
      </c>
      <c r="R4">
        <v>1.487204</v>
      </c>
      <c r="V4" s="10" cm="1">
        <f t="array" ref="V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3)+1),6),"")</f>
        <v>2.7390000000000001E-3</v>
      </c>
      <c r="W4" s="11">
        <f>V4*16394.7314311978</f>
        <v>44.90516939005078</v>
      </c>
      <c r="X4" s="15"/>
      <c r="Y4" s="28"/>
      <c r="Z4" s="10"/>
      <c r="AA4" s="11"/>
      <c r="AB4" s="29"/>
    </row>
    <row r="5" spans="1:39" x14ac:dyDescent="0.25">
      <c r="A5" s="9">
        <v>253</v>
      </c>
      <c r="B5">
        <v>1.4977799999999999</v>
      </c>
      <c r="C5">
        <f t="shared" ref="C5:C68" si="0">C4-1</f>
        <v>246</v>
      </c>
      <c r="D5">
        <v>1.4968410000000001</v>
      </c>
      <c r="E5" s="9">
        <f t="shared" ref="E5:E68" si="1">E4-1</f>
        <v>243</v>
      </c>
      <c r="F5">
        <v>1.4981070000000001</v>
      </c>
      <c r="G5" s="9">
        <v>253</v>
      </c>
      <c r="H5">
        <v>1.4312590000000001</v>
      </c>
      <c r="I5">
        <v>243</v>
      </c>
      <c r="J5">
        <v>1.429799</v>
      </c>
      <c r="K5">
        <v>243</v>
      </c>
      <c r="L5">
        <v>1.4313979999999999</v>
      </c>
      <c r="M5" s="9">
        <v>253</v>
      </c>
      <c r="N5">
        <v>1.483444</v>
      </c>
      <c r="O5">
        <v>241</v>
      </c>
      <c r="P5">
        <v>1.4831559999999999</v>
      </c>
      <c r="Q5">
        <v>247</v>
      </c>
      <c r="R5">
        <v>1.4844299999999999</v>
      </c>
      <c r="V5" s="10" cm="1">
        <f t="array" ref="V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4)+1),6),"")</f>
        <v>5.1529999999999996E-3</v>
      </c>
      <c r="W5" s="11">
        <f t="shared" ref="W5:W68" si="2">V5*16394.7314311978</f>
        <v>84.482051064962263</v>
      </c>
      <c r="X5" s="15"/>
      <c r="Y5" s="13"/>
      <c r="Z5" s="10"/>
      <c r="AA5" s="11"/>
      <c r="AB5" s="29"/>
    </row>
    <row r="6" spans="1:39" x14ac:dyDescent="0.25">
      <c r="A6" s="9">
        <v>252</v>
      </c>
      <c r="B6">
        <v>1.4949140000000001</v>
      </c>
      <c r="C6">
        <f t="shared" si="0"/>
        <v>245</v>
      </c>
      <c r="D6">
        <v>1.493511</v>
      </c>
      <c r="E6" s="9">
        <f t="shared" si="1"/>
        <v>242</v>
      </c>
      <c r="F6">
        <v>1.4950829999999999</v>
      </c>
      <c r="G6" s="9">
        <v>252</v>
      </c>
      <c r="H6">
        <v>1.4284829999999999</v>
      </c>
      <c r="I6">
        <v>242</v>
      </c>
      <c r="J6">
        <v>1.427038</v>
      </c>
      <c r="K6">
        <v>242</v>
      </c>
      <c r="L6">
        <v>1.429146</v>
      </c>
      <c r="M6" s="9">
        <v>252</v>
      </c>
      <c r="N6">
        <v>1.480675</v>
      </c>
      <c r="O6">
        <v>240</v>
      </c>
      <c r="P6">
        <v>1.4804189999999999</v>
      </c>
      <c r="Q6">
        <v>246</v>
      </c>
      <c r="R6">
        <v>1.482159</v>
      </c>
      <c r="V6" s="10" cm="1">
        <f t="array" ref="V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5)+1),6),"")</f>
        <v>8.0190000000000001E-3</v>
      </c>
      <c r="W6" s="11">
        <f t="shared" si="2"/>
        <v>131.46935134677517</v>
      </c>
      <c r="X6" s="15"/>
      <c r="Y6" s="13"/>
      <c r="Z6" s="10"/>
      <c r="AA6" s="11"/>
      <c r="AB6" s="29"/>
    </row>
    <row r="7" spans="1:39" x14ac:dyDescent="0.25">
      <c r="A7" s="9">
        <v>251</v>
      </c>
      <c r="B7">
        <v>1.491895</v>
      </c>
      <c r="C7">
        <f t="shared" si="0"/>
        <v>244</v>
      </c>
      <c r="D7">
        <v>1.4906429999999999</v>
      </c>
      <c r="E7" s="9">
        <f t="shared" si="1"/>
        <v>241</v>
      </c>
      <c r="F7">
        <v>1.4931989999999999</v>
      </c>
      <c r="G7" s="9">
        <v>251</v>
      </c>
      <c r="H7">
        <v>1.4252830000000001</v>
      </c>
      <c r="I7">
        <v>241</v>
      </c>
      <c r="J7">
        <v>1.4244239999999999</v>
      </c>
      <c r="K7">
        <v>241</v>
      </c>
      <c r="L7">
        <v>1.426312</v>
      </c>
      <c r="M7" s="9">
        <v>251</v>
      </c>
      <c r="N7">
        <v>1.4780310000000001</v>
      </c>
      <c r="O7">
        <v>239</v>
      </c>
      <c r="P7">
        <v>1.4792890000000001</v>
      </c>
      <c r="Q7">
        <v>245</v>
      </c>
      <c r="R7">
        <v>1.479374</v>
      </c>
      <c r="V7" s="10" cm="1">
        <f t="array" ref="V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6)+1),6),"")</f>
        <v>1.1037999999999999E-2</v>
      </c>
      <c r="W7" s="11">
        <f t="shared" si="2"/>
        <v>180.96504553756131</v>
      </c>
      <c r="X7" s="15"/>
      <c r="Y7" s="13"/>
      <c r="Z7" s="10"/>
      <c r="AA7" s="11"/>
      <c r="AB7" s="29"/>
    </row>
    <row r="8" spans="1:39" x14ac:dyDescent="0.25">
      <c r="A8" s="9">
        <v>250</v>
      </c>
      <c r="B8">
        <v>1.4890779999999999</v>
      </c>
      <c r="C8">
        <f t="shared" si="0"/>
        <v>243</v>
      </c>
      <c r="D8">
        <v>1.4892650000000001</v>
      </c>
      <c r="E8" s="9">
        <f t="shared" si="1"/>
        <v>240</v>
      </c>
      <c r="F8">
        <v>1.4899279999999999</v>
      </c>
      <c r="G8" s="9">
        <v>250</v>
      </c>
      <c r="H8">
        <v>1.4228080000000001</v>
      </c>
      <c r="I8">
        <v>240</v>
      </c>
      <c r="J8">
        <v>1.4216409999999999</v>
      </c>
      <c r="K8">
        <v>240</v>
      </c>
      <c r="L8">
        <v>1.4240790000000001</v>
      </c>
      <c r="M8" s="9">
        <v>250</v>
      </c>
      <c r="N8">
        <v>1.475258</v>
      </c>
      <c r="O8">
        <v>238</v>
      </c>
      <c r="P8">
        <v>1.4767399999999999</v>
      </c>
      <c r="Q8">
        <v>244</v>
      </c>
      <c r="R8">
        <v>1.476971</v>
      </c>
      <c r="V8" s="10" cm="1">
        <f t="array" ref="V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7)+1),6),"")</f>
        <v>1.3854999999999999E-2</v>
      </c>
      <c r="W8" s="11">
        <f t="shared" si="2"/>
        <v>227.14900397924552</v>
      </c>
      <c r="X8" s="15"/>
      <c r="Y8" s="13"/>
      <c r="Z8" s="10"/>
      <c r="AA8" s="11"/>
      <c r="AB8" s="29"/>
    </row>
    <row r="9" spans="1:39" x14ac:dyDescent="0.25">
      <c r="A9" s="9">
        <v>249</v>
      </c>
      <c r="B9">
        <v>1.4865600000000001</v>
      </c>
      <c r="C9">
        <f t="shared" si="0"/>
        <v>242</v>
      </c>
      <c r="D9">
        <v>1.486707</v>
      </c>
      <c r="E9" s="9">
        <f t="shared" si="1"/>
        <v>239</v>
      </c>
      <c r="F9">
        <v>1.4880389999999999</v>
      </c>
      <c r="G9" s="9">
        <v>249</v>
      </c>
      <c r="H9">
        <v>1.4202360000000001</v>
      </c>
      <c r="I9">
        <v>239</v>
      </c>
      <c r="J9">
        <v>1.422221</v>
      </c>
      <c r="K9">
        <v>239</v>
      </c>
      <c r="L9">
        <v>1.423519</v>
      </c>
      <c r="M9" s="9">
        <v>249</v>
      </c>
      <c r="N9">
        <v>1.472426</v>
      </c>
      <c r="O9">
        <v>237</v>
      </c>
      <c r="P9">
        <v>1.473897</v>
      </c>
      <c r="Q9">
        <v>243</v>
      </c>
      <c r="R9">
        <v>1.4735210000000001</v>
      </c>
      <c r="V9" s="10" cm="1">
        <f t="array" ref="V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8)+1),6),"")</f>
        <v>1.6372999999999999E-2</v>
      </c>
      <c r="W9" s="11">
        <f t="shared" si="2"/>
        <v>268.43093772300159</v>
      </c>
      <c r="X9" s="15"/>
      <c r="Y9" s="13"/>
      <c r="Z9" s="10"/>
      <c r="AA9" s="11"/>
      <c r="AB9" s="29"/>
    </row>
    <row r="10" spans="1:39" x14ac:dyDescent="0.25">
      <c r="A10" s="9">
        <v>248</v>
      </c>
      <c r="B10">
        <v>1.4838750000000001</v>
      </c>
      <c r="C10">
        <f t="shared" si="0"/>
        <v>241</v>
      </c>
      <c r="D10">
        <v>1.483481</v>
      </c>
      <c r="E10" s="9">
        <f t="shared" si="1"/>
        <v>238</v>
      </c>
      <c r="F10">
        <v>1.484934</v>
      </c>
      <c r="G10" s="9">
        <v>248</v>
      </c>
      <c r="H10">
        <v>1.417702</v>
      </c>
      <c r="I10">
        <v>238</v>
      </c>
      <c r="J10">
        <v>1.4194100000000001</v>
      </c>
      <c r="K10">
        <v>238</v>
      </c>
      <c r="L10">
        <v>1.421157</v>
      </c>
      <c r="M10" s="9">
        <v>248</v>
      </c>
      <c r="N10">
        <v>1.4700880000000001</v>
      </c>
      <c r="O10">
        <v>236</v>
      </c>
      <c r="P10">
        <v>1.4713780000000001</v>
      </c>
      <c r="Q10">
        <v>242</v>
      </c>
      <c r="R10">
        <v>1.470915</v>
      </c>
      <c r="V10" s="10" cm="1">
        <f t="array" ref="V1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9)+1),6),"")</f>
        <v>1.9057999999999999E-2</v>
      </c>
      <c r="W10" s="11">
        <f t="shared" si="2"/>
        <v>312.45079161576768</v>
      </c>
      <c r="X10" s="15"/>
      <c r="Y10" s="13"/>
      <c r="Z10" s="10"/>
      <c r="AA10" s="11"/>
      <c r="AB10" s="29"/>
    </row>
    <row r="11" spans="1:39" x14ac:dyDescent="0.25">
      <c r="A11" s="9">
        <v>247</v>
      </c>
      <c r="B11">
        <v>1.4828600000000001</v>
      </c>
      <c r="C11">
        <f t="shared" si="0"/>
        <v>240</v>
      </c>
      <c r="D11">
        <v>1.4806619999999999</v>
      </c>
      <c r="E11" s="9">
        <f t="shared" si="1"/>
        <v>237</v>
      </c>
      <c r="F11">
        <v>1.4827669999999999</v>
      </c>
      <c r="G11" s="9">
        <v>247</v>
      </c>
      <c r="H11">
        <v>1.4153709999999999</v>
      </c>
      <c r="I11">
        <v>237</v>
      </c>
      <c r="J11">
        <v>1.417006</v>
      </c>
      <c r="K11">
        <v>237</v>
      </c>
      <c r="L11">
        <v>1.418293</v>
      </c>
      <c r="M11" s="9">
        <v>247</v>
      </c>
      <c r="N11">
        <v>1.467835</v>
      </c>
      <c r="O11">
        <v>235</v>
      </c>
      <c r="P11">
        <v>1.4685509999999999</v>
      </c>
      <c r="Q11">
        <v>241</v>
      </c>
      <c r="R11">
        <v>1.4681770000000001</v>
      </c>
      <c r="V11" s="10" cm="1">
        <f t="array" ref="V1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10)+1),6),"")</f>
        <v>2.0073000000000001E-2</v>
      </c>
      <c r="W11" s="11">
        <f t="shared" si="2"/>
        <v>329.09144401843344</v>
      </c>
      <c r="X11" s="15"/>
      <c r="Y11" s="13"/>
      <c r="Z11" s="10"/>
      <c r="AA11" s="11"/>
      <c r="AB11" s="29"/>
    </row>
    <row r="12" spans="1:39" x14ac:dyDescent="0.25">
      <c r="A12" s="9">
        <v>246</v>
      </c>
      <c r="B12">
        <v>1.4802299999999999</v>
      </c>
      <c r="C12">
        <f t="shared" si="0"/>
        <v>239</v>
      </c>
      <c r="D12">
        <v>1.4795160000000001</v>
      </c>
      <c r="E12" s="9">
        <f t="shared" si="1"/>
        <v>236</v>
      </c>
      <c r="F12">
        <v>1.4799059999999999</v>
      </c>
      <c r="G12" s="9">
        <v>246</v>
      </c>
      <c r="H12">
        <v>1.412355</v>
      </c>
      <c r="I12">
        <v>236</v>
      </c>
      <c r="J12">
        <v>1.4140360000000001</v>
      </c>
      <c r="K12">
        <v>236</v>
      </c>
      <c r="L12">
        <v>1.4158580000000001</v>
      </c>
      <c r="M12" s="9">
        <v>246</v>
      </c>
      <c r="N12">
        <v>1.4651320000000001</v>
      </c>
      <c r="O12">
        <v>234</v>
      </c>
      <c r="P12">
        <v>1.4657480000000001</v>
      </c>
      <c r="Q12">
        <v>240</v>
      </c>
      <c r="R12">
        <v>1.4658979999999999</v>
      </c>
      <c r="V12" s="10" cm="1">
        <f t="array" ref="V1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11)+1),6),"")</f>
        <v>2.2703000000000001E-2</v>
      </c>
      <c r="W12" s="11">
        <f t="shared" si="2"/>
        <v>372.20958768248369</v>
      </c>
      <c r="X12" s="15"/>
      <c r="Y12" s="13"/>
      <c r="Z12" s="10"/>
      <c r="AA12" s="11"/>
      <c r="AB12" s="29"/>
    </row>
    <row r="13" spans="1:39" x14ac:dyDescent="0.25">
      <c r="A13" s="9">
        <v>245</v>
      </c>
      <c r="B13">
        <v>1.4774240000000001</v>
      </c>
      <c r="C13">
        <f t="shared" si="0"/>
        <v>238</v>
      </c>
      <c r="D13">
        <v>1.476375</v>
      </c>
      <c r="E13" s="9">
        <f t="shared" si="1"/>
        <v>235</v>
      </c>
      <c r="F13">
        <v>1.4780500000000001</v>
      </c>
      <c r="G13" s="9">
        <v>245</v>
      </c>
      <c r="H13">
        <v>1.4101790000000001</v>
      </c>
      <c r="I13">
        <v>235</v>
      </c>
      <c r="J13">
        <v>1.410984</v>
      </c>
      <c r="K13">
        <v>235</v>
      </c>
      <c r="L13">
        <v>1.412234</v>
      </c>
      <c r="M13" s="9">
        <v>245</v>
      </c>
      <c r="N13">
        <v>1.4625680000000001</v>
      </c>
      <c r="O13">
        <v>233</v>
      </c>
      <c r="P13">
        <v>1.462634</v>
      </c>
      <c r="Q13">
        <v>239</v>
      </c>
      <c r="R13">
        <v>1.4630860000000001</v>
      </c>
      <c r="V13" s="10" cm="1">
        <f t="array" ref="V1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12)+1),6),"")</f>
        <v>2.5509E-2</v>
      </c>
      <c r="W13" s="11">
        <f t="shared" si="2"/>
        <v>418.21320407842472</v>
      </c>
      <c r="X13" s="15"/>
      <c r="Y13" s="13"/>
      <c r="Z13" s="10"/>
      <c r="AA13" s="11"/>
      <c r="AB13" s="29"/>
    </row>
    <row r="14" spans="1:39" x14ac:dyDescent="0.25">
      <c r="A14" s="9">
        <v>244</v>
      </c>
      <c r="B14">
        <v>1.4750449999999999</v>
      </c>
      <c r="C14">
        <f t="shared" si="0"/>
        <v>237</v>
      </c>
      <c r="D14">
        <v>1.4734130000000001</v>
      </c>
      <c r="E14" s="9">
        <f t="shared" si="1"/>
        <v>234</v>
      </c>
      <c r="F14">
        <v>1.475355</v>
      </c>
      <c r="G14" s="9">
        <v>244</v>
      </c>
      <c r="H14">
        <v>1.407635</v>
      </c>
      <c r="I14">
        <v>234</v>
      </c>
      <c r="J14">
        <v>1.407905</v>
      </c>
      <c r="K14">
        <v>234</v>
      </c>
      <c r="L14">
        <v>1.409764</v>
      </c>
      <c r="M14" s="9">
        <v>244</v>
      </c>
      <c r="N14">
        <v>1.4597640000000001</v>
      </c>
      <c r="O14">
        <v>232</v>
      </c>
      <c r="P14">
        <v>1.4598720000000001</v>
      </c>
      <c r="Q14">
        <v>238</v>
      </c>
      <c r="R14">
        <v>1.4607950000000001</v>
      </c>
      <c r="V14" s="10" cm="1">
        <f t="array" ref="V1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13)+1),6),"")</f>
        <v>2.7888E-2</v>
      </c>
      <c r="W14" s="11">
        <f t="shared" si="2"/>
        <v>457.21627015324424</v>
      </c>
      <c r="X14" s="15"/>
      <c r="Y14" s="13"/>
      <c r="Z14" s="10"/>
      <c r="AA14" s="11"/>
      <c r="AB14" s="29"/>
    </row>
    <row r="15" spans="1:39" x14ac:dyDescent="0.25">
      <c r="A15" s="9">
        <v>243</v>
      </c>
      <c r="B15">
        <v>1.471859</v>
      </c>
      <c r="C15">
        <f t="shared" si="0"/>
        <v>236</v>
      </c>
      <c r="D15">
        <v>1.4706360000000001</v>
      </c>
      <c r="E15" s="9">
        <f t="shared" si="1"/>
        <v>233</v>
      </c>
      <c r="F15">
        <v>1.473211</v>
      </c>
      <c r="G15" s="9">
        <v>243</v>
      </c>
      <c r="H15">
        <v>1.4041840000000001</v>
      </c>
      <c r="I15">
        <v>233</v>
      </c>
      <c r="J15">
        <v>1.405521</v>
      </c>
      <c r="K15">
        <v>233</v>
      </c>
      <c r="L15">
        <v>1.4072279999999999</v>
      </c>
      <c r="M15" s="9">
        <v>243</v>
      </c>
      <c r="N15">
        <v>1.4568779999999999</v>
      </c>
      <c r="O15">
        <v>231</v>
      </c>
      <c r="P15">
        <v>1.457632</v>
      </c>
      <c r="Q15">
        <v>237</v>
      </c>
      <c r="R15">
        <v>1.4578070000000001</v>
      </c>
      <c r="V15" s="10" cm="1">
        <f t="array" ref="V1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14)+1),6),"")</f>
        <v>3.1074000000000001E-2</v>
      </c>
      <c r="W15" s="11">
        <f t="shared" si="2"/>
        <v>509.44988449304049</v>
      </c>
      <c r="X15" s="15"/>
      <c r="Y15" s="30">
        <v>3.1864000000000101E-2</v>
      </c>
      <c r="Z15" s="31">
        <v>40</v>
      </c>
      <c r="AA15" s="32">
        <v>165470.32999999999</v>
      </c>
      <c r="AB15" s="33">
        <v>165470.32999999999</v>
      </c>
    </row>
    <row r="16" spans="1:39" x14ac:dyDescent="0.25">
      <c r="A16" s="9">
        <v>242</v>
      </c>
      <c r="B16">
        <v>1.4693620000000001</v>
      </c>
      <c r="C16">
        <f t="shared" si="0"/>
        <v>235</v>
      </c>
      <c r="D16">
        <v>1.4693719999999999</v>
      </c>
      <c r="E16" s="9">
        <f t="shared" si="1"/>
        <v>232</v>
      </c>
      <c r="F16">
        <v>1.470475</v>
      </c>
      <c r="G16" s="9">
        <v>242</v>
      </c>
      <c r="H16">
        <v>1.401715</v>
      </c>
      <c r="I16">
        <v>232</v>
      </c>
      <c r="J16">
        <v>1.4026369999999999</v>
      </c>
      <c r="K16">
        <v>232</v>
      </c>
      <c r="L16">
        <v>1.4049579999999999</v>
      </c>
      <c r="M16" s="9">
        <v>242</v>
      </c>
      <c r="N16">
        <v>1.454361</v>
      </c>
      <c r="O16">
        <v>230</v>
      </c>
      <c r="P16">
        <v>1.455066</v>
      </c>
      <c r="Q16">
        <v>236</v>
      </c>
      <c r="R16">
        <v>1.455406</v>
      </c>
      <c r="V16" s="10" cm="1">
        <f t="array" ref="V1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15)+1),6),"")</f>
        <v>3.3570999999999997E-2</v>
      </c>
      <c r="W16" s="11">
        <f t="shared" si="2"/>
        <v>550.38752887674127</v>
      </c>
      <c r="X16" s="15"/>
      <c r="Y16" s="30">
        <v>3.41140000000002E-2</v>
      </c>
      <c r="Z16" s="31"/>
      <c r="AA16" s="32"/>
      <c r="AB16" s="34">
        <v>190597.78</v>
      </c>
    </row>
    <row r="17" spans="1:28" x14ac:dyDescent="0.25">
      <c r="A17" s="9">
        <v>241</v>
      </c>
      <c r="B17">
        <v>1.4668000000000001</v>
      </c>
      <c r="C17">
        <f t="shared" si="0"/>
        <v>234</v>
      </c>
      <c r="D17">
        <v>1.4662869999999999</v>
      </c>
      <c r="E17" s="9">
        <f t="shared" si="1"/>
        <v>231</v>
      </c>
      <c r="F17">
        <v>1.465476</v>
      </c>
      <c r="G17" s="9">
        <v>241</v>
      </c>
      <c r="H17">
        <v>1.39889</v>
      </c>
      <c r="I17">
        <v>231</v>
      </c>
      <c r="J17">
        <v>1.399038</v>
      </c>
      <c r="K17">
        <v>231</v>
      </c>
      <c r="L17">
        <v>1.400927</v>
      </c>
      <c r="M17" s="9">
        <v>241</v>
      </c>
      <c r="N17">
        <v>1.45174</v>
      </c>
      <c r="O17">
        <v>229</v>
      </c>
      <c r="P17">
        <v>1.4521790000000001</v>
      </c>
      <c r="Q17">
        <v>235</v>
      </c>
      <c r="R17">
        <v>1.4520930000000001</v>
      </c>
      <c r="V17" s="10" cm="1">
        <f t="array" ref="V1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16)+1),6),"")</f>
        <v>3.6132999999999998E-2</v>
      </c>
      <c r="W17" s="11">
        <f t="shared" si="2"/>
        <v>592.39083080347007</v>
      </c>
      <c r="X17" s="15"/>
      <c r="Y17" s="30">
        <v>3.8022E-2</v>
      </c>
      <c r="Z17" s="31"/>
      <c r="AA17" s="32"/>
      <c r="AB17" s="34">
        <v>215725.23</v>
      </c>
    </row>
    <row r="18" spans="1:28" x14ac:dyDescent="0.25">
      <c r="A18" s="9">
        <v>240</v>
      </c>
      <c r="B18">
        <v>1.463881</v>
      </c>
      <c r="C18">
        <f t="shared" si="0"/>
        <v>233</v>
      </c>
      <c r="D18">
        <v>1.4629719999999999</v>
      </c>
      <c r="E18" s="9">
        <f t="shared" si="1"/>
        <v>230</v>
      </c>
      <c r="F18">
        <v>1.462321</v>
      </c>
      <c r="G18" s="9">
        <v>240</v>
      </c>
      <c r="H18">
        <v>1.3965650000000001</v>
      </c>
      <c r="I18">
        <v>230</v>
      </c>
      <c r="J18">
        <v>1.396183</v>
      </c>
      <c r="K18">
        <v>230</v>
      </c>
      <c r="L18">
        <v>1.398674</v>
      </c>
      <c r="M18" s="9">
        <v>240</v>
      </c>
      <c r="N18">
        <v>1.4492130000000001</v>
      </c>
      <c r="O18">
        <v>228</v>
      </c>
      <c r="P18">
        <v>1.449541</v>
      </c>
      <c r="Q18">
        <v>234</v>
      </c>
      <c r="R18">
        <v>1.4498260000000001</v>
      </c>
      <c r="V18" s="10" cm="1">
        <f t="array" ref="V1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17)+1),6),"")</f>
        <v>3.9052000000000003E-2</v>
      </c>
      <c r="W18" s="11">
        <f t="shared" si="2"/>
        <v>640.24705185113658</v>
      </c>
      <c r="X18" s="15"/>
      <c r="Y18" s="30">
        <v>4.0010999999999998E-2</v>
      </c>
      <c r="Z18" s="31">
        <v>39.5</v>
      </c>
      <c r="AA18" s="32">
        <v>240852.68</v>
      </c>
      <c r="AB18" s="34">
        <v>240852.68000000002</v>
      </c>
    </row>
    <row r="19" spans="1:28" x14ac:dyDescent="0.25">
      <c r="A19" s="9">
        <v>239</v>
      </c>
      <c r="B19">
        <v>1.4602349999999999</v>
      </c>
      <c r="C19">
        <f t="shared" si="0"/>
        <v>232</v>
      </c>
      <c r="D19">
        <v>1.4603170000000001</v>
      </c>
      <c r="E19" s="9">
        <f t="shared" si="1"/>
        <v>229</v>
      </c>
      <c r="F19">
        <v>1.460485</v>
      </c>
      <c r="G19" s="9">
        <v>239</v>
      </c>
      <c r="H19">
        <v>1.394701</v>
      </c>
      <c r="I19">
        <v>229</v>
      </c>
      <c r="J19">
        <v>1.3934690000000001</v>
      </c>
      <c r="K19">
        <v>229</v>
      </c>
      <c r="L19">
        <v>1.396123</v>
      </c>
      <c r="M19" s="9">
        <v>239</v>
      </c>
      <c r="N19">
        <v>1.448582</v>
      </c>
      <c r="O19">
        <v>227</v>
      </c>
      <c r="P19">
        <v>1.4465030000000001</v>
      </c>
      <c r="Q19">
        <v>233</v>
      </c>
      <c r="R19">
        <v>1.4468179999999999</v>
      </c>
      <c r="V19" s="10" cm="1">
        <f t="array" ref="V1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18)+1),6),"")</f>
        <v>4.2698E-2</v>
      </c>
      <c r="W19" s="11">
        <f t="shared" si="2"/>
        <v>700.02224264928373</v>
      </c>
      <c r="X19" s="15"/>
      <c r="Y19" s="30">
        <v>4.5292000000000103E-2</v>
      </c>
      <c r="Z19" s="31"/>
      <c r="AA19" s="32"/>
      <c r="AB19" s="34">
        <v>264850.0625</v>
      </c>
    </row>
    <row r="20" spans="1:28" x14ac:dyDescent="0.25">
      <c r="A20" s="9">
        <v>238</v>
      </c>
      <c r="B20">
        <v>1.457392</v>
      </c>
      <c r="C20">
        <f t="shared" si="0"/>
        <v>231</v>
      </c>
      <c r="D20">
        <v>1.4578340000000001</v>
      </c>
      <c r="E20" s="9">
        <f t="shared" si="1"/>
        <v>228</v>
      </c>
      <c r="F20">
        <v>1.457541</v>
      </c>
      <c r="G20" s="9">
        <v>238</v>
      </c>
      <c r="H20">
        <v>1.39228</v>
      </c>
      <c r="I20">
        <v>228</v>
      </c>
      <c r="J20">
        <v>1.390533</v>
      </c>
      <c r="K20">
        <v>228</v>
      </c>
      <c r="L20">
        <v>1.3936280000000001</v>
      </c>
      <c r="M20" s="9">
        <v>238</v>
      </c>
      <c r="N20">
        <v>1.445651</v>
      </c>
      <c r="O20">
        <v>226</v>
      </c>
      <c r="P20">
        <v>1.4440900000000001</v>
      </c>
      <c r="Q20">
        <v>232</v>
      </c>
      <c r="R20">
        <v>1.4442839999999999</v>
      </c>
      <c r="V20" s="10" cm="1">
        <f t="array" ref="V2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19)+1),6),"")</f>
        <v>4.5540999999999998E-2</v>
      </c>
      <c r="W20" s="11">
        <f t="shared" si="2"/>
        <v>746.63246410817897</v>
      </c>
      <c r="X20" s="15"/>
      <c r="Y20" s="30">
        <v>4.7364000000000198E-2</v>
      </c>
      <c r="Z20" s="31"/>
      <c r="AA20" s="32"/>
      <c r="AB20" s="34">
        <v>288847.44500000001</v>
      </c>
    </row>
    <row r="21" spans="1:28" x14ac:dyDescent="0.25">
      <c r="A21" s="9">
        <v>237</v>
      </c>
      <c r="B21">
        <v>1.4548289999999999</v>
      </c>
      <c r="C21">
        <f t="shared" si="0"/>
        <v>230</v>
      </c>
      <c r="D21">
        <v>1.454895</v>
      </c>
      <c r="E21" s="9">
        <f t="shared" si="1"/>
        <v>227</v>
      </c>
      <c r="F21">
        <v>1.45564</v>
      </c>
      <c r="G21" s="9">
        <v>237</v>
      </c>
      <c r="H21">
        <v>1.3896200000000001</v>
      </c>
      <c r="I21">
        <v>227</v>
      </c>
      <c r="J21">
        <v>1.3876500000000001</v>
      </c>
      <c r="K21">
        <v>227</v>
      </c>
      <c r="L21">
        <v>1.3901220000000001</v>
      </c>
      <c r="M21" s="9">
        <v>237</v>
      </c>
      <c r="N21">
        <v>1.4432259999999999</v>
      </c>
      <c r="O21">
        <v>225</v>
      </c>
      <c r="P21">
        <v>1.4409810000000001</v>
      </c>
      <c r="Q21">
        <v>231</v>
      </c>
      <c r="R21">
        <v>1.4418979999999999</v>
      </c>
      <c r="V21" s="10" cm="1">
        <f t="array" ref="V2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20)+1),6),"")</f>
        <v>4.8104000000000001E-2</v>
      </c>
      <c r="W21" s="11">
        <f t="shared" si="2"/>
        <v>788.65216076633897</v>
      </c>
      <c r="X21" s="15"/>
      <c r="Y21" s="30">
        <v>5.1489000000000097E-2</v>
      </c>
      <c r="Z21" s="31"/>
      <c r="AA21" s="32"/>
      <c r="AB21" s="34">
        <v>312844.82750000001</v>
      </c>
    </row>
    <row r="22" spans="1:28" x14ac:dyDescent="0.25">
      <c r="A22" s="9">
        <v>236</v>
      </c>
      <c r="B22">
        <v>1.4520960000000001</v>
      </c>
      <c r="C22">
        <f t="shared" si="0"/>
        <v>229</v>
      </c>
      <c r="D22">
        <v>1.4519390000000001</v>
      </c>
      <c r="E22" s="9">
        <f t="shared" si="1"/>
        <v>226</v>
      </c>
      <c r="F22">
        <v>1.4528239999999999</v>
      </c>
      <c r="G22" s="9">
        <v>236</v>
      </c>
      <c r="H22">
        <v>1.386827</v>
      </c>
      <c r="I22">
        <v>226</v>
      </c>
      <c r="J22">
        <v>1.3848320000000001</v>
      </c>
      <c r="K22">
        <v>226</v>
      </c>
      <c r="L22">
        <v>1.3875770000000001</v>
      </c>
      <c r="M22" s="9">
        <v>236</v>
      </c>
      <c r="N22">
        <v>1.4404090000000001</v>
      </c>
      <c r="O22">
        <v>224</v>
      </c>
      <c r="P22">
        <v>1.438445</v>
      </c>
      <c r="Q22">
        <v>230</v>
      </c>
      <c r="R22">
        <v>1.439481</v>
      </c>
      <c r="V22" s="10" cm="1">
        <f t="array" ref="V2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21)+1),6),"")</f>
        <v>5.0837E-2</v>
      </c>
      <c r="W22" s="11">
        <f t="shared" si="2"/>
        <v>833.45896176780263</v>
      </c>
      <c r="X22" s="15"/>
      <c r="Y22" s="30">
        <v>5.3502000000000202E-2</v>
      </c>
      <c r="Z22" s="31">
        <v>39</v>
      </c>
      <c r="AA22" s="32">
        <v>336842.21</v>
      </c>
      <c r="AB22" s="34">
        <v>336842.21</v>
      </c>
    </row>
    <row r="23" spans="1:28" x14ac:dyDescent="0.25">
      <c r="A23" s="9">
        <v>235</v>
      </c>
      <c r="B23">
        <v>1.4492499999999999</v>
      </c>
      <c r="C23">
        <f t="shared" si="0"/>
        <v>228</v>
      </c>
      <c r="D23">
        <v>1.4486969999999999</v>
      </c>
      <c r="E23" s="9">
        <f t="shared" si="1"/>
        <v>225</v>
      </c>
      <c r="F23">
        <v>1.45076</v>
      </c>
      <c r="G23" s="9">
        <v>235</v>
      </c>
      <c r="H23">
        <v>1.3837360000000001</v>
      </c>
      <c r="I23">
        <v>225</v>
      </c>
      <c r="J23">
        <v>1.3820429999999999</v>
      </c>
      <c r="K23">
        <v>225</v>
      </c>
      <c r="L23">
        <v>1.384776</v>
      </c>
      <c r="M23" s="9">
        <v>235</v>
      </c>
      <c r="N23">
        <v>1.4378649999999999</v>
      </c>
      <c r="O23">
        <v>223</v>
      </c>
      <c r="P23">
        <v>1.434817</v>
      </c>
      <c r="Q23">
        <v>229</v>
      </c>
      <c r="R23">
        <v>1.436563</v>
      </c>
      <c r="V23" s="10" cm="1">
        <f t="array" ref="V2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22)+1),6),"")</f>
        <v>5.3683000000000002E-2</v>
      </c>
      <c r="W23" s="11">
        <f t="shared" si="2"/>
        <v>880.1183674209916</v>
      </c>
      <c r="X23" s="15"/>
      <c r="Y23" s="30">
        <v>5.6323000000000102E-2</v>
      </c>
      <c r="Z23" s="31"/>
      <c r="AA23" s="32"/>
      <c r="AB23" s="34">
        <v>349936.69375000003</v>
      </c>
    </row>
    <row r="24" spans="1:28" x14ac:dyDescent="0.25">
      <c r="A24" s="9">
        <v>234</v>
      </c>
      <c r="B24">
        <v>1.446356</v>
      </c>
      <c r="C24">
        <f t="shared" si="0"/>
        <v>227</v>
      </c>
      <c r="D24">
        <v>1.4478930000000001</v>
      </c>
      <c r="E24" s="9">
        <f t="shared" si="1"/>
        <v>224</v>
      </c>
      <c r="F24">
        <v>1.4475229999999999</v>
      </c>
      <c r="G24" s="9">
        <v>234</v>
      </c>
      <c r="H24">
        <v>1.381243</v>
      </c>
      <c r="I24">
        <v>224</v>
      </c>
      <c r="J24">
        <v>1.3792770000000001</v>
      </c>
      <c r="K24">
        <v>224</v>
      </c>
      <c r="L24">
        <v>1.382639</v>
      </c>
      <c r="M24" s="9">
        <v>234</v>
      </c>
      <c r="N24">
        <v>1.435297</v>
      </c>
      <c r="O24">
        <v>222</v>
      </c>
      <c r="P24">
        <v>1.4319679999999999</v>
      </c>
      <c r="Q24">
        <v>228</v>
      </c>
      <c r="R24">
        <v>1.4341680000000001</v>
      </c>
      <c r="V24" s="10" cm="1">
        <f t="array" ref="V2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23)+1),6),"")</f>
        <v>5.6577000000000002E-2</v>
      </c>
      <c r="W24" s="11">
        <f t="shared" si="2"/>
        <v>927.56472018287798</v>
      </c>
      <c r="X24" s="15"/>
      <c r="Y24" s="30">
        <v>5.8231000000000102E-2</v>
      </c>
      <c r="Z24" s="31"/>
      <c r="AA24" s="32"/>
      <c r="AB24" s="34">
        <v>363031.17750000005</v>
      </c>
    </row>
    <row r="25" spans="1:28" x14ac:dyDescent="0.25">
      <c r="A25" s="9">
        <v>233</v>
      </c>
      <c r="B25">
        <v>1.4440580000000001</v>
      </c>
      <c r="C25">
        <f t="shared" si="0"/>
        <v>226</v>
      </c>
      <c r="D25">
        <v>1.445109</v>
      </c>
      <c r="E25" s="9">
        <f t="shared" si="1"/>
        <v>223</v>
      </c>
      <c r="F25">
        <v>1.4416549999999999</v>
      </c>
      <c r="G25" s="9">
        <v>233</v>
      </c>
      <c r="H25">
        <v>1.378563</v>
      </c>
      <c r="I25">
        <v>223</v>
      </c>
      <c r="J25">
        <v>1.3771640000000001</v>
      </c>
      <c r="K25">
        <v>223</v>
      </c>
      <c r="L25">
        <v>1.3780140000000001</v>
      </c>
      <c r="M25" s="9">
        <v>233</v>
      </c>
      <c r="N25">
        <v>1.4326950000000001</v>
      </c>
      <c r="O25">
        <v>221</v>
      </c>
      <c r="P25">
        <v>1.429179</v>
      </c>
      <c r="Q25">
        <v>227</v>
      </c>
      <c r="R25">
        <v>1.4308959999999999</v>
      </c>
      <c r="V25" s="10" cm="1">
        <f t="array" ref="V2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24)+1),6),"")</f>
        <v>5.8874999999999997E-2</v>
      </c>
      <c r="W25" s="11">
        <f t="shared" si="2"/>
        <v>965.23981301177048</v>
      </c>
      <c r="X25" s="15"/>
      <c r="Y25" s="30">
        <v>6.2186000000000102E-2</v>
      </c>
      <c r="Z25" s="31"/>
      <c r="AA25" s="32"/>
      <c r="AB25" s="34">
        <v>376125.66125000006</v>
      </c>
    </row>
    <row r="26" spans="1:28" x14ac:dyDescent="0.25">
      <c r="A26" s="9">
        <v>232</v>
      </c>
      <c r="B26">
        <v>1.441287</v>
      </c>
      <c r="C26">
        <f t="shared" si="0"/>
        <v>225</v>
      </c>
      <c r="D26">
        <v>1.4416329999999999</v>
      </c>
      <c r="E26" s="9">
        <f t="shared" si="1"/>
        <v>222</v>
      </c>
      <c r="F26">
        <v>1.438607</v>
      </c>
      <c r="G26" s="9">
        <v>232</v>
      </c>
      <c r="H26">
        <v>1.376039</v>
      </c>
      <c r="I26">
        <v>222</v>
      </c>
      <c r="J26">
        <v>1.3744689999999999</v>
      </c>
      <c r="K26">
        <v>222</v>
      </c>
      <c r="L26">
        <v>1.3756139999999999</v>
      </c>
      <c r="M26" s="9">
        <v>232</v>
      </c>
      <c r="N26">
        <v>1.4300660000000001</v>
      </c>
      <c r="O26">
        <v>220</v>
      </c>
      <c r="P26">
        <v>1.426385</v>
      </c>
      <c r="Q26">
        <v>226</v>
      </c>
      <c r="R26">
        <v>1.4284049999999999</v>
      </c>
      <c r="V26" s="10" cm="1">
        <f t="array" ref="V2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25)+1),6),"")</f>
        <v>6.1645999999999999E-2</v>
      </c>
      <c r="W26" s="11">
        <f t="shared" si="2"/>
        <v>1010.6696138076196</v>
      </c>
      <c r="X26" s="15"/>
      <c r="Y26" s="30">
        <v>6.4445000000000099E-2</v>
      </c>
      <c r="Z26" s="31"/>
      <c r="AA26" s="32"/>
      <c r="AB26" s="34">
        <v>389220.14500000008</v>
      </c>
    </row>
    <row r="27" spans="1:28" x14ac:dyDescent="0.25">
      <c r="A27" s="9">
        <v>231</v>
      </c>
      <c r="B27">
        <v>1.4403440000000001</v>
      </c>
      <c r="C27">
        <f t="shared" si="0"/>
        <v>224</v>
      </c>
      <c r="D27">
        <v>1.4388799999999999</v>
      </c>
      <c r="E27" s="9">
        <f t="shared" si="1"/>
        <v>221</v>
      </c>
      <c r="F27">
        <v>1.4365289999999999</v>
      </c>
      <c r="G27" s="9">
        <v>231</v>
      </c>
      <c r="H27">
        <v>1.3734090000000001</v>
      </c>
      <c r="I27">
        <v>221</v>
      </c>
      <c r="J27">
        <v>1.3719250000000001</v>
      </c>
      <c r="K27">
        <v>221</v>
      </c>
      <c r="L27">
        <v>1.3729420000000001</v>
      </c>
      <c r="M27" s="9">
        <v>231</v>
      </c>
      <c r="N27">
        <v>1.4277899999999999</v>
      </c>
      <c r="O27">
        <v>219</v>
      </c>
      <c r="P27">
        <v>1.423557</v>
      </c>
      <c r="Q27">
        <v>225</v>
      </c>
      <c r="R27">
        <v>1.4257059999999999</v>
      </c>
      <c r="V27" s="10" cm="1">
        <f t="array" ref="V2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26)+1),6),"")</f>
        <v>6.2589000000000006E-2</v>
      </c>
      <c r="W27" s="11">
        <f t="shared" si="2"/>
        <v>1026.1298455472393</v>
      </c>
      <c r="X27" s="15"/>
      <c r="Y27" s="30">
        <v>6.64850000000001E-2</v>
      </c>
      <c r="Z27" s="31"/>
      <c r="AA27" s="32"/>
      <c r="AB27" s="34">
        <v>402314.62875000009</v>
      </c>
    </row>
    <row r="28" spans="1:28" x14ac:dyDescent="0.25">
      <c r="A28" s="9">
        <v>230</v>
      </c>
      <c r="B28">
        <v>1.4372210000000001</v>
      </c>
      <c r="C28">
        <f t="shared" si="0"/>
        <v>223</v>
      </c>
      <c r="D28">
        <v>1.4352910000000001</v>
      </c>
      <c r="E28" s="9">
        <f t="shared" si="1"/>
        <v>220</v>
      </c>
      <c r="F28">
        <v>1.433468</v>
      </c>
      <c r="G28" s="9">
        <v>230</v>
      </c>
      <c r="H28">
        <v>1.3711390000000001</v>
      </c>
      <c r="I28">
        <v>220</v>
      </c>
      <c r="J28">
        <v>1.369137</v>
      </c>
      <c r="K28">
        <v>220</v>
      </c>
      <c r="L28">
        <v>1.3704339999999999</v>
      </c>
      <c r="M28" s="9">
        <v>230</v>
      </c>
      <c r="N28">
        <v>1.4254309999999999</v>
      </c>
      <c r="O28">
        <v>218</v>
      </c>
      <c r="P28">
        <v>1.4210130000000001</v>
      </c>
      <c r="Q28">
        <v>224</v>
      </c>
      <c r="R28">
        <v>1.42334</v>
      </c>
      <c r="V28" s="10" cm="1">
        <f t="array" ref="V2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27)+1),6),"")</f>
        <v>6.5712000000000007E-2</v>
      </c>
      <c r="W28" s="11">
        <f t="shared" si="2"/>
        <v>1077.33059180687</v>
      </c>
      <c r="X28" s="15"/>
      <c r="Y28" s="30">
        <v>6.8457000000000198E-2</v>
      </c>
      <c r="Z28" s="31"/>
      <c r="AA28" s="32"/>
      <c r="AB28" s="34">
        <v>415409.1125000001</v>
      </c>
    </row>
    <row r="29" spans="1:28" x14ac:dyDescent="0.25">
      <c r="A29" s="9">
        <v>229</v>
      </c>
      <c r="B29">
        <v>1.4350270000000001</v>
      </c>
      <c r="C29">
        <f t="shared" si="0"/>
        <v>222</v>
      </c>
      <c r="D29">
        <v>1.4325140000000001</v>
      </c>
      <c r="E29" s="9">
        <f t="shared" si="1"/>
        <v>219</v>
      </c>
      <c r="F29">
        <v>1.4317260000000001</v>
      </c>
      <c r="G29" s="9">
        <v>229</v>
      </c>
      <c r="H29">
        <v>1.3686100000000001</v>
      </c>
      <c r="I29">
        <v>219</v>
      </c>
      <c r="J29">
        <v>1.3660319999999999</v>
      </c>
      <c r="K29">
        <v>219</v>
      </c>
      <c r="L29">
        <v>1.366608</v>
      </c>
      <c r="M29" s="9">
        <v>229</v>
      </c>
      <c r="N29">
        <v>1.422779</v>
      </c>
      <c r="O29">
        <v>217</v>
      </c>
      <c r="P29">
        <v>1.4177999999999999</v>
      </c>
      <c r="Q29">
        <v>223</v>
      </c>
      <c r="R29">
        <v>1.420418</v>
      </c>
      <c r="V29" s="10" cm="1">
        <f t="array" ref="V2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28)+1),6),"")</f>
        <v>6.7905999999999994E-2</v>
      </c>
      <c r="W29" s="11">
        <f t="shared" si="2"/>
        <v>1113.3006325669178</v>
      </c>
      <c r="X29" s="15"/>
      <c r="Y29" s="30">
        <v>7.2641000000000205E-2</v>
      </c>
      <c r="Z29" s="31"/>
      <c r="AA29" s="32"/>
      <c r="AB29" s="34">
        <v>428503.59625000012</v>
      </c>
    </row>
    <row r="30" spans="1:28" x14ac:dyDescent="0.25">
      <c r="A30" s="9">
        <v>228</v>
      </c>
      <c r="B30">
        <v>1.4322330000000001</v>
      </c>
      <c r="C30">
        <f t="shared" si="0"/>
        <v>221</v>
      </c>
      <c r="D30">
        <v>1.429268</v>
      </c>
      <c r="E30" s="9">
        <f t="shared" si="1"/>
        <v>218</v>
      </c>
      <c r="F30">
        <v>1.4288069999999999</v>
      </c>
      <c r="G30" s="9">
        <v>228</v>
      </c>
      <c r="H30">
        <v>1.3660620000000001</v>
      </c>
      <c r="I30">
        <v>218</v>
      </c>
      <c r="J30">
        <v>1.3630450000000001</v>
      </c>
      <c r="K30">
        <v>218</v>
      </c>
      <c r="L30">
        <v>1.3643369999999999</v>
      </c>
      <c r="M30" s="9">
        <v>228</v>
      </c>
      <c r="N30">
        <v>1.4197979999999999</v>
      </c>
      <c r="O30">
        <v>216</v>
      </c>
      <c r="P30">
        <v>1.415227</v>
      </c>
      <c r="Q30">
        <v>222</v>
      </c>
      <c r="R30">
        <v>1.417942</v>
      </c>
      <c r="V30" s="10" cm="1">
        <f t="array" ref="V3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29)+1),6),"")</f>
        <v>7.0699999999999999E-2</v>
      </c>
      <c r="W30" s="11">
        <f t="shared" si="2"/>
        <v>1159.1075121856845</v>
      </c>
      <c r="X30" s="15"/>
      <c r="Y30" s="30">
        <v>7.4793000000000096E-2</v>
      </c>
      <c r="Z30" s="31">
        <v>38.5</v>
      </c>
      <c r="AA30" s="32">
        <v>441598.08</v>
      </c>
      <c r="AB30" s="34">
        <v>441598.08000000013</v>
      </c>
    </row>
    <row r="31" spans="1:28" x14ac:dyDescent="0.25">
      <c r="A31" s="9">
        <v>227</v>
      </c>
      <c r="B31">
        <v>1.4295</v>
      </c>
      <c r="C31">
        <f t="shared" si="0"/>
        <v>220</v>
      </c>
      <c r="D31">
        <v>1.426523</v>
      </c>
      <c r="E31" s="9">
        <f t="shared" si="1"/>
        <v>217</v>
      </c>
      <c r="F31">
        <v>1.4268479999999999</v>
      </c>
      <c r="G31" s="9">
        <v>227</v>
      </c>
      <c r="H31">
        <v>1.362681</v>
      </c>
      <c r="I31">
        <v>217</v>
      </c>
      <c r="J31">
        <v>1.360608</v>
      </c>
      <c r="K31">
        <v>217</v>
      </c>
      <c r="L31">
        <v>1.3616870000000001</v>
      </c>
      <c r="M31" s="9">
        <v>227</v>
      </c>
      <c r="N31">
        <v>1.417181</v>
      </c>
      <c r="O31">
        <v>215</v>
      </c>
      <c r="P31">
        <v>1.4127240000000001</v>
      </c>
      <c r="Q31">
        <v>221</v>
      </c>
      <c r="R31">
        <v>1.414795</v>
      </c>
      <c r="V31" s="10" cm="1">
        <f t="array" ref="V3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30)+1),6),"")</f>
        <v>7.3432999999999998E-2</v>
      </c>
      <c r="W31" s="11">
        <f t="shared" si="2"/>
        <v>1203.9143131871481</v>
      </c>
      <c r="X31" s="15"/>
      <c r="Y31" s="30">
        <v>7.7687000000000103E-2</v>
      </c>
      <c r="Z31" s="31"/>
      <c r="AA31" s="32"/>
      <c r="AB31" s="34">
        <v>456049.47875000013</v>
      </c>
    </row>
    <row r="32" spans="1:28" x14ac:dyDescent="0.25">
      <c r="A32" s="9">
        <v>226</v>
      </c>
      <c r="B32">
        <v>1.4266220000000001</v>
      </c>
      <c r="C32">
        <f t="shared" si="0"/>
        <v>219</v>
      </c>
      <c r="D32">
        <v>1.4252860000000001</v>
      </c>
      <c r="E32" s="9">
        <f t="shared" si="1"/>
        <v>216</v>
      </c>
      <c r="F32">
        <v>1.423837</v>
      </c>
      <c r="G32" s="9">
        <v>226</v>
      </c>
      <c r="H32">
        <v>1.3599540000000001</v>
      </c>
      <c r="I32">
        <v>216</v>
      </c>
      <c r="J32">
        <v>1.357613</v>
      </c>
      <c r="K32">
        <v>216</v>
      </c>
      <c r="L32">
        <v>1.359416</v>
      </c>
      <c r="M32" s="9">
        <v>226</v>
      </c>
      <c r="N32">
        <v>1.4146000000000001</v>
      </c>
      <c r="O32">
        <v>214</v>
      </c>
      <c r="P32">
        <v>1.4101300000000001</v>
      </c>
      <c r="Q32">
        <v>220</v>
      </c>
      <c r="R32">
        <v>1.412639</v>
      </c>
      <c r="V32" s="10" cm="1">
        <f t="array" ref="V3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31)+1),6),"")</f>
        <v>7.6311000000000004E-2</v>
      </c>
      <c r="W32" s="11">
        <f t="shared" si="2"/>
        <v>1251.0983502461354</v>
      </c>
      <c r="X32" s="15"/>
      <c r="Y32" s="30">
        <v>7.9514000000000098E-2</v>
      </c>
      <c r="Z32" s="31"/>
      <c r="AA32" s="32"/>
      <c r="AB32" s="34">
        <v>470500.87750000012</v>
      </c>
    </row>
    <row r="33" spans="1:28" x14ac:dyDescent="0.25">
      <c r="A33" s="9">
        <v>225</v>
      </c>
      <c r="B33">
        <v>1.42405</v>
      </c>
      <c r="C33">
        <f t="shared" si="0"/>
        <v>218</v>
      </c>
      <c r="D33">
        <v>1.422248</v>
      </c>
      <c r="E33" s="9">
        <f t="shared" si="1"/>
        <v>215</v>
      </c>
      <c r="F33">
        <v>1.4194599999999999</v>
      </c>
      <c r="G33" s="9">
        <v>225</v>
      </c>
      <c r="H33">
        <v>1.357685</v>
      </c>
      <c r="I33">
        <v>215</v>
      </c>
      <c r="J33">
        <v>1.3540779999999999</v>
      </c>
      <c r="K33">
        <v>215</v>
      </c>
      <c r="L33">
        <v>1.3556440000000001</v>
      </c>
      <c r="M33" s="9">
        <v>225</v>
      </c>
      <c r="N33">
        <v>1.411902</v>
      </c>
      <c r="O33">
        <v>213</v>
      </c>
      <c r="P33">
        <v>1.407054</v>
      </c>
      <c r="Q33">
        <v>219</v>
      </c>
      <c r="R33">
        <v>1.4092499999999999</v>
      </c>
      <c r="V33" s="10" cm="1">
        <f t="array" ref="V3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32)+1),6),"")</f>
        <v>7.8882999999999995E-2</v>
      </c>
      <c r="W33" s="11">
        <f t="shared" si="2"/>
        <v>1293.2655994871761</v>
      </c>
      <c r="X33" s="15"/>
      <c r="Y33" s="30">
        <v>8.3749000000000101E-2</v>
      </c>
      <c r="Z33" s="31"/>
      <c r="AA33" s="32"/>
      <c r="AB33" s="34">
        <v>484952.27625000011</v>
      </c>
    </row>
    <row r="34" spans="1:28" x14ac:dyDescent="0.25">
      <c r="A34" s="9">
        <v>224</v>
      </c>
      <c r="B34">
        <v>1.421451</v>
      </c>
      <c r="C34">
        <f t="shared" si="0"/>
        <v>217</v>
      </c>
      <c r="D34">
        <v>1.4189529999999999</v>
      </c>
      <c r="E34" s="9">
        <f t="shared" si="1"/>
        <v>214</v>
      </c>
      <c r="F34">
        <v>1.4160239999999999</v>
      </c>
      <c r="G34" s="9">
        <v>224</v>
      </c>
      <c r="H34">
        <v>1.355016</v>
      </c>
      <c r="I34">
        <v>214</v>
      </c>
      <c r="J34">
        <v>1.3511979999999999</v>
      </c>
      <c r="K34">
        <v>214</v>
      </c>
      <c r="L34">
        <v>1.3530199999999999</v>
      </c>
      <c r="M34" s="9">
        <v>224</v>
      </c>
      <c r="N34">
        <v>1.4092769999999999</v>
      </c>
      <c r="O34">
        <v>212</v>
      </c>
      <c r="P34">
        <v>1.404682</v>
      </c>
      <c r="Q34">
        <v>218</v>
      </c>
      <c r="R34">
        <v>1.4069119999999999</v>
      </c>
      <c r="V34" s="10" cm="1">
        <f t="array" ref="V3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33)+1),6),"")</f>
        <v>8.1481999999999999E-2</v>
      </c>
      <c r="W34" s="11">
        <f t="shared" si="2"/>
        <v>1335.8755064768591</v>
      </c>
      <c r="X34" s="15"/>
      <c r="Y34" s="30">
        <v>8.6007000000000194E-2</v>
      </c>
      <c r="Z34" s="31"/>
      <c r="AA34" s="32"/>
      <c r="AB34" s="34">
        <v>499403.6750000001</v>
      </c>
    </row>
    <row r="35" spans="1:28" x14ac:dyDescent="0.25">
      <c r="A35" s="9">
        <v>223</v>
      </c>
      <c r="B35">
        <v>1.4201459999999999</v>
      </c>
      <c r="C35">
        <f t="shared" si="0"/>
        <v>216</v>
      </c>
      <c r="D35">
        <v>1.416164</v>
      </c>
      <c r="E35" s="9">
        <f t="shared" si="1"/>
        <v>213</v>
      </c>
      <c r="F35">
        <v>1.4142349999999999</v>
      </c>
      <c r="G35" s="9">
        <v>223</v>
      </c>
      <c r="H35">
        <v>1.3520509999999999</v>
      </c>
      <c r="I35">
        <v>213</v>
      </c>
      <c r="J35">
        <v>1.3486830000000001</v>
      </c>
      <c r="K35">
        <v>213</v>
      </c>
      <c r="L35">
        <v>1.350643</v>
      </c>
      <c r="M35" s="9">
        <v>223</v>
      </c>
      <c r="N35">
        <v>1.400901</v>
      </c>
      <c r="O35">
        <v>211</v>
      </c>
      <c r="P35">
        <v>1.401494</v>
      </c>
      <c r="Q35">
        <v>217</v>
      </c>
      <c r="R35">
        <v>1.4039950000000001</v>
      </c>
      <c r="V35" s="10" cm="1">
        <f t="array" ref="V3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34)+1),6),"")</f>
        <v>8.2786999999999999E-2</v>
      </c>
      <c r="W35" s="11">
        <f t="shared" si="2"/>
        <v>1357.2706309945722</v>
      </c>
      <c r="X35" s="15"/>
      <c r="Y35" s="30">
        <v>8.8957000000000203E-2</v>
      </c>
      <c r="Z35" s="31"/>
      <c r="AA35" s="32"/>
      <c r="AB35" s="34">
        <v>513855.0737500001</v>
      </c>
    </row>
    <row r="36" spans="1:28" x14ac:dyDescent="0.25">
      <c r="A36" s="9">
        <v>222</v>
      </c>
      <c r="B36">
        <v>1.417001</v>
      </c>
      <c r="C36">
        <f t="shared" si="0"/>
        <v>215</v>
      </c>
      <c r="D36">
        <v>1.4138550000000001</v>
      </c>
      <c r="E36" s="9">
        <f t="shared" si="1"/>
        <v>212</v>
      </c>
      <c r="F36">
        <v>1.4109970000000001</v>
      </c>
      <c r="G36" s="9">
        <v>222</v>
      </c>
      <c r="H36">
        <v>1.349232</v>
      </c>
      <c r="I36">
        <v>212</v>
      </c>
      <c r="J36">
        <v>1.3456250000000001</v>
      </c>
      <c r="K36">
        <v>212</v>
      </c>
      <c r="L36">
        <v>1.348247</v>
      </c>
      <c r="M36" s="9">
        <v>222</v>
      </c>
      <c r="N36">
        <v>1.3986529999999999</v>
      </c>
      <c r="O36">
        <v>210</v>
      </c>
      <c r="P36">
        <v>1.398825</v>
      </c>
      <c r="Q36">
        <v>216</v>
      </c>
      <c r="R36">
        <v>1.4013949999999999</v>
      </c>
      <c r="V36" s="10" cm="1">
        <f t="array" ref="V3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35)+1),6),"")</f>
        <v>8.5931999999999994E-2</v>
      </c>
      <c r="W36" s="11">
        <f t="shared" si="2"/>
        <v>1408.8320613456892</v>
      </c>
      <c r="X36" s="15"/>
      <c r="Y36" s="30">
        <v>9.0826000000000101E-2</v>
      </c>
      <c r="Z36" s="31"/>
      <c r="AA36" s="32"/>
      <c r="AB36" s="34">
        <v>528306.47250000015</v>
      </c>
    </row>
    <row r="37" spans="1:28" x14ac:dyDescent="0.25">
      <c r="A37" s="9">
        <v>221</v>
      </c>
      <c r="B37">
        <v>1.4148499999999999</v>
      </c>
      <c r="C37">
        <f t="shared" si="0"/>
        <v>214</v>
      </c>
      <c r="D37">
        <v>1.4109339999999999</v>
      </c>
      <c r="E37" s="9">
        <f t="shared" si="1"/>
        <v>211</v>
      </c>
      <c r="F37">
        <v>1.409381</v>
      </c>
      <c r="G37" s="9">
        <v>221</v>
      </c>
      <c r="H37">
        <v>1.3466419999999999</v>
      </c>
      <c r="I37">
        <v>211</v>
      </c>
      <c r="J37">
        <v>1.3427690000000001</v>
      </c>
      <c r="K37">
        <v>211</v>
      </c>
      <c r="L37">
        <v>1.3444780000000001</v>
      </c>
      <c r="M37" s="9">
        <v>221</v>
      </c>
      <c r="N37">
        <v>1.3959429999999999</v>
      </c>
      <c r="O37">
        <v>209</v>
      </c>
      <c r="P37">
        <v>1.39591</v>
      </c>
      <c r="Q37">
        <v>215</v>
      </c>
      <c r="R37">
        <v>1.3990370000000001</v>
      </c>
      <c r="V37" s="10" cm="1">
        <f t="array" ref="V3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36)+1),6),"")</f>
        <v>8.8082999999999995E-2</v>
      </c>
      <c r="W37" s="11">
        <f t="shared" si="2"/>
        <v>1444.0971286541958</v>
      </c>
      <c r="X37" s="15"/>
      <c r="Y37" s="30">
        <v>9.4867000000000007E-2</v>
      </c>
      <c r="Z37" s="31"/>
      <c r="AA37" s="32"/>
      <c r="AB37" s="34">
        <v>542757.8712500002</v>
      </c>
    </row>
    <row r="38" spans="1:28" x14ac:dyDescent="0.25">
      <c r="A38" s="9">
        <v>220</v>
      </c>
      <c r="B38">
        <v>1.4115880000000001</v>
      </c>
      <c r="C38">
        <f t="shared" si="0"/>
        <v>213</v>
      </c>
      <c r="D38">
        <v>1.4074759999999999</v>
      </c>
      <c r="E38" s="9">
        <f t="shared" si="1"/>
        <v>210</v>
      </c>
      <c r="F38">
        <v>1.4063859999999999</v>
      </c>
      <c r="G38" s="9">
        <v>220</v>
      </c>
      <c r="H38">
        <v>1.344381</v>
      </c>
      <c r="I38">
        <v>210</v>
      </c>
      <c r="J38">
        <v>1.339799</v>
      </c>
      <c r="K38">
        <v>210</v>
      </c>
      <c r="L38">
        <v>1.341996</v>
      </c>
      <c r="M38" s="9">
        <v>220</v>
      </c>
      <c r="N38">
        <v>1.393186</v>
      </c>
      <c r="O38">
        <v>208</v>
      </c>
      <c r="P38">
        <v>1.3933869999999999</v>
      </c>
      <c r="Q38">
        <v>214</v>
      </c>
      <c r="R38">
        <v>1.3964300000000001</v>
      </c>
      <c r="V38" s="10" cm="1">
        <f t="array" ref="V3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37)+1),6),"")</f>
        <v>9.1344999999999996E-2</v>
      </c>
      <c r="W38" s="11">
        <f t="shared" si="2"/>
        <v>1497.576742582763</v>
      </c>
      <c r="X38" s="15"/>
      <c r="Y38" s="30">
        <v>9.7252000000000102E-2</v>
      </c>
      <c r="Z38" s="31">
        <v>38</v>
      </c>
      <c r="AA38" s="32">
        <v>557209.27</v>
      </c>
      <c r="AB38" s="34">
        <v>557209.27000000025</v>
      </c>
    </row>
    <row r="39" spans="1:28" x14ac:dyDescent="0.25">
      <c r="A39" s="9">
        <v>219</v>
      </c>
      <c r="B39">
        <v>1.4090910000000001</v>
      </c>
      <c r="C39">
        <f t="shared" si="0"/>
        <v>212</v>
      </c>
      <c r="D39">
        <v>1.4045589999999999</v>
      </c>
      <c r="E39" s="9">
        <f t="shared" si="1"/>
        <v>209</v>
      </c>
      <c r="F39">
        <v>1.403956</v>
      </c>
      <c r="G39" s="9">
        <v>219</v>
      </c>
      <c r="H39">
        <v>1.340954</v>
      </c>
      <c r="I39">
        <v>209</v>
      </c>
      <c r="J39">
        <v>1.337215</v>
      </c>
      <c r="K39">
        <v>209</v>
      </c>
      <c r="L39">
        <v>1.339256</v>
      </c>
      <c r="M39" s="9">
        <v>219</v>
      </c>
      <c r="N39">
        <v>1.3905460000000001</v>
      </c>
      <c r="O39">
        <v>207</v>
      </c>
      <c r="P39">
        <v>1.392269</v>
      </c>
      <c r="Q39">
        <v>213</v>
      </c>
      <c r="R39">
        <v>1.393432</v>
      </c>
      <c r="V39" s="10" cm="1">
        <f t="array" ref="V3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38)+1),6),"")</f>
        <v>9.3841999999999995E-2</v>
      </c>
      <c r="W39" s="11">
        <f t="shared" si="2"/>
        <v>1538.5143869664639</v>
      </c>
      <c r="X39" s="15"/>
      <c r="Y39" s="30">
        <v>9.9988000000000202E-2</v>
      </c>
      <c r="Z39" s="31"/>
      <c r="AA39" s="32"/>
      <c r="AB39" s="34">
        <v>572059.18625000026</v>
      </c>
    </row>
    <row r="40" spans="1:28" x14ac:dyDescent="0.25">
      <c r="A40" s="9">
        <v>218</v>
      </c>
      <c r="B40">
        <v>1.4061710000000001</v>
      </c>
      <c r="C40">
        <f t="shared" si="0"/>
        <v>211</v>
      </c>
      <c r="D40">
        <v>1.4032899999999999</v>
      </c>
      <c r="E40" s="9">
        <f t="shared" si="1"/>
        <v>208</v>
      </c>
      <c r="F40">
        <v>1.401249</v>
      </c>
      <c r="G40" s="9">
        <v>218</v>
      </c>
      <c r="H40">
        <v>1.3383389999999999</v>
      </c>
      <c r="I40">
        <v>208</v>
      </c>
      <c r="J40">
        <v>1.3339529999999999</v>
      </c>
      <c r="K40">
        <v>208</v>
      </c>
      <c r="L40">
        <v>1.337073</v>
      </c>
      <c r="M40" s="9">
        <v>218</v>
      </c>
      <c r="N40">
        <v>1.387745</v>
      </c>
      <c r="O40">
        <v>206</v>
      </c>
      <c r="P40">
        <v>1.3897090000000001</v>
      </c>
      <c r="Q40">
        <v>212</v>
      </c>
      <c r="R40">
        <v>1.391051</v>
      </c>
      <c r="V40" s="10" cm="1">
        <f t="array" ref="V4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39)+1),6),"")</f>
        <v>9.6762000000000001E-2</v>
      </c>
      <c r="W40" s="11">
        <f t="shared" si="2"/>
        <v>1586.3870027455616</v>
      </c>
      <c r="X40" s="15"/>
      <c r="Y40" s="30">
        <v>0.10204000000000001</v>
      </c>
      <c r="Z40" s="31"/>
      <c r="AA40" s="32"/>
      <c r="AB40" s="34">
        <v>586909.10250000027</v>
      </c>
    </row>
    <row r="41" spans="1:28" x14ac:dyDescent="0.25">
      <c r="A41" s="9">
        <v>217</v>
      </c>
      <c r="B41">
        <v>1.403459</v>
      </c>
      <c r="C41">
        <f t="shared" si="0"/>
        <v>210</v>
      </c>
      <c r="D41">
        <v>1.4005650000000001</v>
      </c>
      <c r="E41" s="9">
        <f t="shared" si="1"/>
        <v>207</v>
      </c>
      <c r="F41">
        <v>1.3989</v>
      </c>
      <c r="G41" s="9">
        <v>217</v>
      </c>
      <c r="H41">
        <v>1.3358410000000001</v>
      </c>
      <c r="I41">
        <v>207</v>
      </c>
      <c r="J41">
        <v>1.334794</v>
      </c>
      <c r="K41">
        <v>207</v>
      </c>
      <c r="L41">
        <v>1.336433</v>
      </c>
      <c r="M41" s="9">
        <v>217</v>
      </c>
      <c r="N41">
        <v>1.3851979999999999</v>
      </c>
      <c r="O41">
        <v>205</v>
      </c>
      <c r="P41">
        <v>1.386417</v>
      </c>
      <c r="Q41">
        <v>211</v>
      </c>
      <c r="R41">
        <v>1.38764</v>
      </c>
      <c r="V41" s="10" cm="1">
        <f t="array" ref="V4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40)+1),6),"")</f>
        <v>9.9474000000000007E-2</v>
      </c>
      <c r="W41" s="11">
        <f t="shared" si="2"/>
        <v>1630.8495143869702</v>
      </c>
      <c r="X41" s="15"/>
      <c r="Y41" s="30">
        <v>0.106082</v>
      </c>
      <c r="Z41" s="31"/>
      <c r="AA41" s="32"/>
      <c r="AB41" s="34">
        <v>601759.01875000028</v>
      </c>
    </row>
    <row r="42" spans="1:28" x14ac:dyDescent="0.25">
      <c r="A42" s="9">
        <v>216</v>
      </c>
      <c r="B42">
        <v>1.401025</v>
      </c>
      <c r="C42">
        <f t="shared" si="0"/>
        <v>209</v>
      </c>
      <c r="D42">
        <v>1.397189</v>
      </c>
      <c r="E42" s="9">
        <f t="shared" si="1"/>
        <v>206</v>
      </c>
      <c r="F42">
        <v>1.396001</v>
      </c>
      <c r="G42" s="9">
        <v>216</v>
      </c>
      <c r="H42">
        <v>1.333102</v>
      </c>
      <c r="I42">
        <v>206</v>
      </c>
      <c r="J42">
        <v>1.3319220000000001</v>
      </c>
      <c r="K42">
        <v>206</v>
      </c>
      <c r="L42">
        <v>1.333879</v>
      </c>
      <c r="M42" s="9">
        <v>216</v>
      </c>
      <c r="N42">
        <v>1.3825460000000001</v>
      </c>
      <c r="O42">
        <v>204</v>
      </c>
      <c r="P42">
        <v>1.3835630000000001</v>
      </c>
      <c r="Q42">
        <v>210</v>
      </c>
      <c r="R42">
        <v>1.3853279999999999</v>
      </c>
      <c r="V42" s="10" cm="1">
        <f t="array" ref="V4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41)+1),6),"")</f>
        <v>0.101908</v>
      </c>
      <c r="W42" s="11">
        <f t="shared" si="2"/>
        <v>1670.7542906905055</v>
      </c>
      <c r="X42" s="15"/>
      <c r="Y42" s="30">
        <v>0.108241</v>
      </c>
      <c r="Z42" s="31"/>
      <c r="AA42" s="32"/>
      <c r="AB42" s="34">
        <v>616608.93500000029</v>
      </c>
    </row>
    <row r="43" spans="1:28" x14ac:dyDescent="0.25">
      <c r="A43" s="9">
        <v>215</v>
      </c>
      <c r="B43">
        <v>1.3994819999999999</v>
      </c>
      <c r="C43">
        <f t="shared" si="0"/>
        <v>208</v>
      </c>
      <c r="D43">
        <v>1.3941790000000001</v>
      </c>
      <c r="E43" s="9">
        <f t="shared" si="1"/>
        <v>205</v>
      </c>
      <c r="F43">
        <v>1.3938600000000001</v>
      </c>
      <c r="G43" s="9">
        <v>215</v>
      </c>
      <c r="H43">
        <v>1.330865</v>
      </c>
      <c r="I43">
        <v>205</v>
      </c>
      <c r="J43">
        <v>1.32955</v>
      </c>
      <c r="K43">
        <v>205</v>
      </c>
      <c r="L43">
        <v>1.331275</v>
      </c>
      <c r="M43" s="9">
        <v>215</v>
      </c>
      <c r="N43">
        <v>1.380206</v>
      </c>
      <c r="O43">
        <v>203</v>
      </c>
      <c r="P43">
        <v>1.380873</v>
      </c>
      <c r="Q43">
        <v>209</v>
      </c>
      <c r="R43">
        <v>1.3823319999999999</v>
      </c>
      <c r="V43" s="10" cm="1">
        <f t="array" ref="V4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42)+1),6),"")</f>
        <v>0.103451</v>
      </c>
      <c r="W43" s="11">
        <f t="shared" si="2"/>
        <v>1696.0513612888437</v>
      </c>
      <c r="X43" s="15"/>
      <c r="Y43" s="30">
        <v>0.11014699999999999</v>
      </c>
      <c r="Z43" s="31"/>
      <c r="AA43" s="32"/>
      <c r="AB43" s="34">
        <v>631458.8512500003</v>
      </c>
    </row>
    <row r="44" spans="1:28" x14ac:dyDescent="0.25">
      <c r="A44" s="9">
        <v>214</v>
      </c>
      <c r="B44">
        <v>1.396957</v>
      </c>
      <c r="C44">
        <f t="shared" si="0"/>
        <v>207</v>
      </c>
      <c r="D44">
        <v>1.3931450000000001</v>
      </c>
      <c r="E44" s="9">
        <f t="shared" si="1"/>
        <v>204</v>
      </c>
      <c r="F44">
        <v>1.3906369999999999</v>
      </c>
      <c r="G44" s="9">
        <v>214</v>
      </c>
      <c r="H44">
        <v>1.3283309999999999</v>
      </c>
      <c r="I44">
        <v>204</v>
      </c>
      <c r="J44">
        <v>1.3265309999999999</v>
      </c>
      <c r="K44">
        <v>204</v>
      </c>
      <c r="L44">
        <v>1.3286249999999999</v>
      </c>
      <c r="M44" s="9">
        <v>214</v>
      </c>
      <c r="N44">
        <v>1.3776809999999999</v>
      </c>
      <c r="O44">
        <v>202</v>
      </c>
      <c r="P44">
        <v>1.3781840000000001</v>
      </c>
      <c r="Q44">
        <v>208</v>
      </c>
      <c r="R44">
        <v>1.379991</v>
      </c>
      <c r="V44" s="10" cm="1">
        <f t="array" ref="V4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43)+1),6),"")</f>
        <v>0.105976</v>
      </c>
      <c r="W44" s="11">
        <f t="shared" si="2"/>
        <v>1737.4480581526182</v>
      </c>
      <c r="X44" s="15"/>
      <c r="Y44" s="30">
        <v>0.112397</v>
      </c>
      <c r="Z44" s="31"/>
      <c r="AA44" s="32"/>
      <c r="AB44" s="34">
        <v>646308.76750000031</v>
      </c>
    </row>
    <row r="45" spans="1:28" x14ac:dyDescent="0.25">
      <c r="A45" s="9">
        <v>213</v>
      </c>
      <c r="B45">
        <v>1.394582</v>
      </c>
      <c r="C45">
        <f t="shared" si="0"/>
        <v>206</v>
      </c>
      <c r="D45">
        <v>1.3902110000000001</v>
      </c>
      <c r="E45" s="9">
        <f t="shared" si="1"/>
        <v>203</v>
      </c>
      <c r="F45">
        <v>1.3890530000000001</v>
      </c>
      <c r="G45" s="9">
        <v>213</v>
      </c>
      <c r="H45">
        <v>1.3256779999999999</v>
      </c>
      <c r="I45">
        <v>203</v>
      </c>
      <c r="J45">
        <v>1.3232360000000001</v>
      </c>
      <c r="K45">
        <v>203</v>
      </c>
      <c r="L45">
        <v>1.3250949999999999</v>
      </c>
      <c r="M45" s="9">
        <v>213</v>
      </c>
      <c r="N45">
        <v>1.3747990000000001</v>
      </c>
      <c r="O45">
        <v>201</v>
      </c>
      <c r="P45">
        <v>1.375345</v>
      </c>
      <c r="Q45">
        <v>207</v>
      </c>
      <c r="R45">
        <v>1.3774059999999999</v>
      </c>
      <c r="V45" s="10" cm="1">
        <f t="array" ref="V4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44)+1),6),"")</f>
        <v>0.108351</v>
      </c>
      <c r="W45" s="11">
        <f t="shared" si="2"/>
        <v>1776.3855453017129</v>
      </c>
      <c r="X45" s="15"/>
      <c r="Y45" s="30">
        <v>0.116498</v>
      </c>
      <c r="Z45" s="31"/>
      <c r="AA45" s="32"/>
      <c r="AB45" s="34">
        <v>661158.68375000032</v>
      </c>
    </row>
    <row r="46" spans="1:28" x14ac:dyDescent="0.25">
      <c r="A46" s="9">
        <v>212</v>
      </c>
      <c r="B46">
        <v>1.391686</v>
      </c>
      <c r="C46">
        <f t="shared" si="0"/>
        <v>205</v>
      </c>
      <c r="D46">
        <v>1.3868860000000001</v>
      </c>
      <c r="E46" s="9">
        <f t="shared" si="1"/>
        <v>202</v>
      </c>
      <c r="F46">
        <v>1.3860170000000001</v>
      </c>
      <c r="G46" s="9">
        <v>212</v>
      </c>
      <c r="H46">
        <v>1.3231790000000001</v>
      </c>
      <c r="I46">
        <v>202</v>
      </c>
      <c r="J46">
        <v>1.320451</v>
      </c>
      <c r="K46">
        <v>202</v>
      </c>
      <c r="L46">
        <v>1.322576</v>
      </c>
      <c r="M46" s="9">
        <v>212</v>
      </c>
      <c r="N46">
        <v>1.372417</v>
      </c>
      <c r="O46">
        <v>200</v>
      </c>
      <c r="P46">
        <v>1.372549</v>
      </c>
      <c r="Q46">
        <v>206</v>
      </c>
      <c r="R46">
        <v>1.374773</v>
      </c>
      <c r="V46" s="10" cm="1">
        <f t="array" ref="V4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45)+1),6),"")</f>
        <v>0.111247</v>
      </c>
      <c r="W46" s="11">
        <f t="shared" si="2"/>
        <v>1823.8646875264617</v>
      </c>
      <c r="X46" s="15"/>
      <c r="Y46" s="30">
        <v>0.118281</v>
      </c>
      <c r="Z46" s="31">
        <v>37.5</v>
      </c>
      <c r="AA46" s="32">
        <v>676008.6</v>
      </c>
      <c r="AB46" s="34">
        <v>676008.60000000033</v>
      </c>
    </row>
    <row r="47" spans="1:28" x14ac:dyDescent="0.25">
      <c r="A47" s="9">
        <v>211</v>
      </c>
      <c r="B47">
        <v>1.3885289999999999</v>
      </c>
      <c r="C47">
        <f t="shared" si="0"/>
        <v>204</v>
      </c>
      <c r="D47">
        <v>1.3840250000000001</v>
      </c>
      <c r="E47" s="9">
        <f t="shared" si="1"/>
        <v>201</v>
      </c>
      <c r="F47">
        <v>1.3840779999999999</v>
      </c>
      <c r="G47" s="9">
        <v>211</v>
      </c>
      <c r="H47">
        <v>1.319604</v>
      </c>
      <c r="I47">
        <v>201</v>
      </c>
      <c r="J47">
        <v>1.3177540000000001</v>
      </c>
      <c r="K47">
        <v>201</v>
      </c>
      <c r="L47">
        <v>1.3200590000000001</v>
      </c>
      <c r="M47" s="9">
        <v>211</v>
      </c>
      <c r="N47">
        <v>1.369651</v>
      </c>
      <c r="O47">
        <v>199</v>
      </c>
      <c r="P47">
        <v>1.370269</v>
      </c>
      <c r="Q47">
        <v>205</v>
      </c>
      <c r="R47">
        <v>1.371904</v>
      </c>
      <c r="V47" s="10" cm="1">
        <f t="array" ref="V4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46)+1),6),"")</f>
        <v>0.11440400000000001</v>
      </c>
      <c r="W47" s="11">
        <f t="shared" si="2"/>
        <v>1875.6228546547534</v>
      </c>
      <c r="X47" s="15"/>
      <c r="Y47" s="30">
        <v>0.121395</v>
      </c>
      <c r="Z47" s="31"/>
      <c r="AA47" s="32"/>
      <c r="AB47" s="34">
        <v>692456.93857142888</v>
      </c>
    </row>
    <row r="48" spans="1:28" x14ac:dyDescent="0.25">
      <c r="A48" s="9">
        <v>210</v>
      </c>
      <c r="B48">
        <v>1.385791</v>
      </c>
      <c r="C48">
        <f t="shared" si="0"/>
        <v>203</v>
      </c>
      <c r="D48">
        <v>1.382914</v>
      </c>
      <c r="E48" s="9">
        <f t="shared" si="1"/>
        <v>200</v>
      </c>
      <c r="F48">
        <v>1.381035</v>
      </c>
      <c r="G48" s="9">
        <v>210</v>
      </c>
      <c r="H48">
        <v>1.317197</v>
      </c>
      <c r="I48">
        <v>200</v>
      </c>
      <c r="J48">
        <v>1.3149850000000001</v>
      </c>
      <c r="K48">
        <v>200</v>
      </c>
      <c r="L48">
        <v>1.317601</v>
      </c>
      <c r="M48" s="9">
        <v>210</v>
      </c>
      <c r="N48">
        <v>1.3669530000000001</v>
      </c>
      <c r="O48">
        <v>198</v>
      </c>
      <c r="P48">
        <v>1.3675790000000001</v>
      </c>
      <c r="Q48">
        <v>204</v>
      </c>
      <c r="R48">
        <v>1.3694789999999999</v>
      </c>
      <c r="V48" s="10" cm="1">
        <f t="array" ref="V4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47)+1),6),"")</f>
        <v>0.117142</v>
      </c>
      <c r="W48" s="11">
        <f t="shared" si="2"/>
        <v>1920.5116293133726</v>
      </c>
      <c r="X48" s="15"/>
      <c r="Y48" s="30">
        <v>0.123545</v>
      </c>
      <c r="Z48" s="31"/>
      <c r="AA48" s="32"/>
      <c r="AB48" s="34">
        <v>708905.27714285743</v>
      </c>
    </row>
    <row r="49" spans="1:28" x14ac:dyDescent="0.25">
      <c r="A49" s="9">
        <v>209</v>
      </c>
      <c r="B49">
        <v>1.383305</v>
      </c>
      <c r="C49">
        <f t="shared" si="0"/>
        <v>202</v>
      </c>
      <c r="D49">
        <v>1.3800619999999999</v>
      </c>
      <c r="E49" s="9">
        <f t="shared" si="1"/>
        <v>199</v>
      </c>
      <c r="F49">
        <v>1.3760540000000001</v>
      </c>
      <c r="G49" s="9">
        <v>209</v>
      </c>
      <c r="H49">
        <v>1.314514</v>
      </c>
      <c r="I49">
        <v>199</v>
      </c>
      <c r="J49">
        <v>1.3113319999999999</v>
      </c>
      <c r="K49">
        <v>199</v>
      </c>
      <c r="L49">
        <v>1.3138110000000001</v>
      </c>
      <c r="M49" s="9">
        <v>209</v>
      </c>
      <c r="N49">
        <v>1.364392</v>
      </c>
      <c r="O49">
        <v>197</v>
      </c>
      <c r="P49">
        <v>1.364252</v>
      </c>
      <c r="Q49">
        <v>203</v>
      </c>
      <c r="R49">
        <v>1.3662570000000001</v>
      </c>
      <c r="V49" s="10" cm="1">
        <f t="array" ref="V4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48)+1),6),"")</f>
        <v>0.119628</v>
      </c>
      <c r="W49" s="11">
        <f t="shared" si="2"/>
        <v>1961.2689316513304</v>
      </c>
      <c r="X49" s="15"/>
      <c r="Y49" s="30">
        <v>0.127585</v>
      </c>
      <c r="Z49" s="31"/>
      <c r="AA49" s="32"/>
      <c r="AB49" s="34">
        <v>725353.61571428599</v>
      </c>
    </row>
    <row r="50" spans="1:28" x14ac:dyDescent="0.25">
      <c r="A50" s="9">
        <v>208</v>
      </c>
      <c r="B50">
        <v>1.3805179999999999</v>
      </c>
      <c r="C50">
        <f t="shared" si="0"/>
        <v>201</v>
      </c>
      <c r="D50">
        <v>1.376844</v>
      </c>
      <c r="E50" s="9">
        <f t="shared" si="1"/>
        <v>198</v>
      </c>
      <c r="F50">
        <v>1.3731139999999999</v>
      </c>
      <c r="G50" s="9">
        <v>208</v>
      </c>
      <c r="H50">
        <v>1.3119209999999999</v>
      </c>
      <c r="I50">
        <v>198</v>
      </c>
      <c r="J50">
        <v>1.308378</v>
      </c>
      <c r="K50">
        <v>198</v>
      </c>
      <c r="L50">
        <v>1.3113250000000001</v>
      </c>
      <c r="M50" s="9">
        <v>208</v>
      </c>
      <c r="N50">
        <v>1.3614200000000001</v>
      </c>
      <c r="O50">
        <v>196</v>
      </c>
      <c r="P50">
        <v>1.3618189999999999</v>
      </c>
      <c r="Q50">
        <v>202</v>
      </c>
      <c r="R50">
        <v>1.3638600000000001</v>
      </c>
      <c r="V50" s="10" cm="1">
        <f t="array" ref="V5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49)+1),6),"")</f>
        <v>0.122415</v>
      </c>
      <c r="W50" s="11">
        <f t="shared" si="2"/>
        <v>2006.9610481500788</v>
      </c>
      <c r="X50" s="15"/>
      <c r="Y50" s="30">
        <v>0.129748</v>
      </c>
      <c r="Z50" s="31"/>
      <c r="AA50" s="32"/>
      <c r="AB50" s="34">
        <v>741801.95428571454</v>
      </c>
    </row>
    <row r="51" spans="1:28" x14ac:dyDescent="0.25">
      <c r="A51" s="9">
        <v>207</v>
      </c>
      <c r="B51">
        <v>1.3764890000000001</v>
      </c>
      <c r="C51">
        <f t="shared" si="0"/>
        <v>200</v>
      </c>
      <c r="D51">
        <v>1.374004</v>
      </c>
      <c r="E51" s="9">
        <f t="shared" si="1"/>
        <v>197</v>
      </c>
      <c r="F51">
        <v>1.371003</v>
      </c>
      <c r="G51" s="9">
        <v>207</v>
      </c>
      <c r="H51">
        <v>1.310093</v>
      </c>
      <c r="I51">
        <v>197</v>
      </c>
      <c r="J51">
        <v>1.3056110000000001</v>
      </c>
      <c r="K51">
        <v>197</v>
      </c>
      <c r="L51">
        <v>1.3087279999999999</v>
      </c>
      <c r="M51" s="9">
        <v>207</v>
      </c>
      <c r="N51">
        <v>1.3610819999999999</v>
      </c>
      <c r="O51">
        <v>195</v>
      </c>
      <c r="P51">
        <v>1.358757</v>
      </c>
      <c r="Q51">
        <v>201</v>
      </c>
      <c r="R51">
        <v>1.3606290000000001</v>
      </c>
      <c r="V51" s="10" cm="1">
        <f t="array" ref="V5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50)+1),6),"")</f>
        <v>0.126444</v>
      </c>
      <c r="W51" s="11">
        <f t="shared" si="2"/>
        <v>2073.0154210863748</v>
      </c>
      <c r="X51" s="15"/>
      <c r="Y51" s="30">
        <v>0.13491900000000001</v>
      </c>
      <c r="Z51" s="31"/>
      <c r="AA51" s="32"/>
      <c r="AB51" s="34">
        <v>758250.2928571431</v>
      </c>
    </row>
    <row r="52" spans="1:28" x14ac:dyDescent="0.25">
      <c r="A52" s="9">
        <v>206</v>
      </c>
      <c r="B52">
        <v>1.3737060000000001</v>
      </c>
      <c r="C52">
        <f t="shared" si="0"/>
        <v>199</v>
      </c>
      <c r="D52">
        <v>1.371669</v>
      </c>
      <c r="E52" s="9">
        <f t="shared" si="1"/>
        <v>196</v>
      </c>
      <c r="F52">
        <v>1.368125</v>
      </c>
      <c r="G52" s="9">
        <v>206</v>
      </c>
      <c r="H52">
        <v>1.307604</v>
      </c>
      <c r="I52">
        <v>196</v>
      </c>
      <c r="J52">
        <v>1.3027660000000001</v>
      </c>
      <c r="K52">
        <v>196</v>
      </c>
      <c r="L52">
        <v>1.3062929999999999</v>
      </c>
      <c r="M52" s="9">
        <v>206</v>
      </c>
      <c r="N52">
        <v>1.3583590000000001</v>
      </c>
      <c r="O52">
        <v>194</v>
      </c>
      <c r="P52">
        <v>1.3562590000000001</v>
      </c>
      <c r="Q52">
        <v>200</v>
      </c>
      <c r="R52">
        <v>1.3585050000000001</v>
      </c>
      <c r="V52" s="10" cm="1">
        <f t="array" ref="V5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51)+1),6),"")</f>
        <v>0.12922700000000001</v>
      </c>
      <c r="W52" s="11">
        <f t="shared" si="2"/>
        <v>2118.6419586593984</v>
      </c>
      <c r="X52" s="15"/>
      <c r="Y52" s="30">
        <v>0.137097</v>
      </c>
      <c r="Z52" s="31"/>
      <c r="AA52" s="32"/>
      <c r="AB52" s="34">
        <v>774698.63142857165</v>
      </c>
    </row>
    <row r="53" spans="1:28" x14ac:dyDescent="0.25">
      <c r="A53" s="9">
        <v>205</v>
      </c>
      <c r="B53">
        <v>1.3710290000000001</v>
      </c>
      <c r="C53">
        <f t="shared" si="0"/>
        <v>198</v>
      </c>
      <c r="D53">
        <v>1.368393</v>
      </c>
      <c r="E53" s="9">
        <f t="shared" si="1"/>
        <v>195</v>
      </c>
      <c r="F53">
        <v>1.3663890000000001</v>
      </c>
      <c r="G53" s="9">
        <v>205</v>
      </c>
      <c r="H53">
        <v>1.3049569999999999</v>
      </c>
      <c r="I53">
        <v>195</v>
      </c>
      <c r="J53">
        <v>1.2997989999999999</v>
      </c>
      <c r="K53">
        <v>195</v>
      </c>
      <c r="L53">
        <v>1.302495</v>
      </c>
      <c r="M53" s="9">
        <v>205</v>
      </c>
      <c r="N53">
        <v>1.3557840000000001</v>
      </c>
      <c r="O53">
        <v>193</v>
      </c>
      <c r="P53">
        <v>1.3531219999999999</v>
      </c>
      <c r="Q53">
        <v>199</v>
      </c>
      <c r="R53">
        <v>1.355904</v>
      </c>
      <c r="V53" s="10" cm="1">
        <f t="array" ref="V5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52)+1),6),"")</f>
        <v>0.13190399999999999</v>
      </c>
      <c r="W53" s="11">
        <f t="shared" si="2"/>
        <v>2162.5306547007144</v>
      </c>
      <c r="X53" s="15"/>
      <c r="Y53" s="30">
        <v>0.14139099999999999</v>
      </c>
      <c r="Z53" s="31">
        <v>37</v>
      </c>
      <c r="AA53" s="32">
        <v>791146.97</v>
      </c>
      <c r="AB53" s="34">
        <v>791146.9700000002</v>
      </c>
    </row>
    <row r="54" spans="1:28" x14ac:dyDescent="0.25">
      <c r="A54" s="9">
        <v>204</v>
      </c>
      <c r="B54">
        <v>1.368377</v>
      </c>
      <c r="C54">
        <f t="shared" si="0"/>
        <v>197</v>
      </c>
      <c r="D54">
        <v>1.36537</v>
      </c>
      <c r="E54" s="9">
        <f t="shared" si="1"/>
        <v>194</v>
      </c>
      <c r="F54">
        <v>1.3631409999999999</v>
      </c>
      <c r="G54" s="9">
        <v>204</v>
      </c>
      <c r="H54">
        <v>1.302332</v>
      </c>
      <c r="I54">
        <v>194</v>
      </c>
      <c r="J54">
        <v>1.296751</v>
      </c>
      <c r="K54">
        <v>194</v>
      </c>
      <c r="L54">
        <v>1.2999149999999999</v>
      </c>
      <c r="M54" s="9">
        <v>204</v>
      </c>
      <c r="N54">
        <v>1.3530949999999999</v>
      </c>
      <c r="O54">
        <v>192</v>
      </c>
      <c r="P54">
        <v>1.350565</v>
      </c>
      <c r="Q54">
        <v>198</v>
      </c>
      <c r="R54">
        <v>1.353585</v>
      </c>
      <c r="V54" s="10" cm="1">
        <f t="array" ref="V5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53)+1),6),"")</f>
        <v>0.13455600000000001</v>
      </c>
      <c r="W54" s="11">
        <f t="shared" si="2"/>
        <v>2206.0094824562516</v>
      </c>
      <c r="X54" s="15"/>
      <c r="Y54" s="30">
        <v>0.14336499999999999</v>
      </c>
      <c r="Z54" s="31"/>
      <c r="AA54" s="32"/>
      <c r="AB54" s="34">
        <v>805350.88750000019</v>
      </c>
    </row>
    <row r="55" spans="1:28" x14ac:dyDescent="0.25">
      <c r="A55" s="9">
        <v>203</v>
      </c>
      <c r="B55">
        <v>1.3654059999999999</v>
      </c>
      <c r="C55">
        <f t="shared" si="0"/>
        <v>196</v>
      </c>
      <c r="D55">
        <v>1.36226</v>
      </c>
      <c r="E55" s="9">
        <f t="shared" si="1"/>
        <v>193</v>
      </c>
      <c r="F55">
        <v>1.3609960000000001</v>
      </c>
      <c r="G55" s="9">
        <v>203</v>
      </c>
      <c r="H55">
        <v>1.2989200000000001</v>
      </c>
      <c r="I55">
        <v>193</v>
      </c>
      <c r="J55">
        <v>1.294133</v>
      </c>
      <c r="K55">
        <v>193</v>
      </c>
      <c r="L55">
        <v>1.29715</v>
      </c>
      <c r="M55" s="9">
        <v>203</v>
      </c>
      <c r="N55">
        <v>1.350023</v>
      </c>
      <c r="O55">
        <v>191</v>
      </c>
      <c r="P55">
        <v>1.3513200000000001</v>
      </c>
      <c r="Q55">
        <v>197</v>
      </c>
      <c r="R55">
        <v>1.350528</v>
      </c>
      <c r="V55" s="10" cm="1">
        <f t="array" ref="V5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54)+1),6),"")</f>
        <v>0.13752700000000001</v>
      </c>
      <c r="W55" s="11">
        <f t="shared" si="2"/>
        <v>2254.71822953834</v>
      </c>
      <c r="X55" s="15"/>
      <c r="Y55" s="30">
        <v>0.146096</v>
      </c>
      <c r="Z55" s="31"/>
      <c r="AA55" s="32"/>
      <c r="AB55" s="34">
        <v>819554.80500000017</v>
      </c>
    </row>
    <row r="56" spans="1:28" x14ac:dyDescent="0.25">
      <c r="A56" s="9">
        <v>202</v>
      </c>
      <c r="B56">
        <v>1.362544</v>
      </c>
      <c r="C56">
        <f t="shared" si="0"/>
        <v>195</v>
      </c>
      <c r="D56">
        <v>1.3611409999999999</v>
      </c>
      <c r="E56" s="9">
        <f t="shared" si="1"/>
        <v>192</v>
      </c>
      <c r="F56">
        <v>1.3579330000000001</v>
      </c>
      <c r="G56" s="9">
        <v>202</v>
      </c>
      <c r="H56">
        <v>1.296424</v>
      </c>
      <c r="I56">
        <v>192</v>
      </c>
      <c r="J56">
        <v>1.2910680000000001</v>
      </c>
      <c r="K56">
        <v>192</v>
      </c>
      <c r="L56">
        <v>1.2948729999999999</v>
      </c>
      <c r="M56" s="9">
        <v>202</v>
      </c>
      <c r="N56">
        <v>1.347512</v>
      </c>
      <c r="O56">
        <v>190</v>
      </c>
      <c r="P56">
        <v>1.3486229999999999</v>
      </c>
      <c r="Q56">
        <v>196</v>
      </c>
      <c r="R56">
        <v>1.347985</v>
      </c>
      <c r="V56" s="10" cm="1">
        <f t="array" ref="V5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55)+1),6),"")</f>
        <v>0.14038900000000001</v>
      </c>
      <c r="W56" s="11">
        <f t="shared" si="2"/>
        <v>2301.6399508944282</v>
      </c>
      <c r="X56" s="15"/>
      <c r="Y56" s="30">
        <v>0.14829700000000001</v>
      </c>
      <c r="Z56" s="31"/>
      <c r="AA56" s="32"/>
      <c r="AB56" s="34">
        <v>833758.72250000015</v>
      </c>
    </row>
    <row r="57" spans="1:28" x14ac:dyDescent="0.25">
      <c r="A57" s="9">
        <v>201</v>
      </c>
      <c r="B57">
        <v>1.359958</v>
      </c>
      <c r="C57">
        <f t="shared" si="0"/>
        <v>194</v>
      </c>
      <c r="D57">
        <v>1.3581920000000001</v>
      </c>
      <c r="E57" s="9">
        <f t="shared" si="1"/>
        <v>191</v>
      </c>
      <c r="F57">
        <v>1.3629579999999999</v>
      </c>
      <c r="G57" s="9">
        <v>201</v>
      </c>
      <c r="H57">
        <v>1.293647</v>
      </c>
      <c r="I57">
        <v>191</v>
      </c>
      <c r="J57">
        <v>1.2988139999999999</v>
      </c>
      <c r="K57">
        <v>191</v>
      </c>
      <c r="L57">
        <v>1.2972410000000001</v>
      </c>
      <c r="M57" s="9">
        <v>201</v>
      </c>
      <c r="N57">
        <v>1.344921</v>
      </c>
      <c r="O57">
        <v>189</v>
      </c>
      <c r="P57">
        <v>1.3455809999999999</v>
      </c>
      <c r="Q57">
        <v>195</v>
      </c>
      <c r="R57">
        <v>1.344673</v>
      </c>
      <c r="V57" s="10" cm="1">
        <f t="array" ref="V5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56)+1),6),"")</f>
        <v>0.14297499999999999</v>
      </c>
      <c r="W57" s="11">
        <f t="shared" si="2"/>
        <v>2344.0367263755056</v>
      </c>
      <c r="X57" s="15"/>
      <c r="Y57" s="30">
        <v>0.15246699999999999</v>
      </c>
      <c r="Z57" s="31"/>
      <c r="AA57" s="32"/>
      <c r="AB57" s="34">
        <v>847962.64000000013</v>
      </c>
    </row>
    <row r="58" spans="1:28" x14ac:dyDescent="0.25">
      <c r="A58" s="9">
        <v>200</v>
      </c>
      <c r="B58">
        <v>1.3571470000000001</v>
      </c>
      <c r="C58">
        <f t="shared" si="0"/>
        <v>193</v>
      </c>
      <c r="D58">
        <v>1.3548739999999999</v>
      </c>
      <c r="E58" s="9">
        <f t="shared" si="1"/>
        <v>190</v>
      </c>
      <c r="F58">
        <v>1.359828</v>
      </c>
      <c r="G58" s="9">
        <v>200</v>
      </c>
      <c r="H58">
        <v>1.2912380000000001</v>
      </c>
      <c r="I58">
        <v>190</v>
      </c>
      <c r="J58">
        <v>1.295984</v>
      </c>
      <c r="K58">
        <v>190</v>
      </c>
      <c r="L58">
        <v>1.294629</v>
      </c>
      <c r="M58" s="9">
        <v>200</v>
      </c>
      <c r="N58">
        <v>1.3422689999999999</v>
      </c>
      <c r="O58">
        <v>188</v>
      </c>
      <c r="P58">
        <v>1.3429420000000001</v>
      </c>
      <c r="Q58">
        <v>194</v>
      </c>
      <c r="R58">
        <v>1.34239</v>
      </c>
      <c r="V58" s="10" cm="1">
        <f t="array" ref="V5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57)+1),6),"")</f>
        <v>0.145786</v>
      </c>
      <c r="W58" s="11">
        <f t="shared" si="2"/>
        <v>2390.1223164286025</v>
      </c>
      <c r="X58" s="15"/>
      <c r="Y58" s="30">
        <v>0.15449499999999999</v>
      </c>
      <c r="Z58" s="31"/>
      <c r="AA58" s="32"/>
      <c r="AB58" s="34">
        <v>862166.55750000011</v>
      </c>
    </row>
    <row r="59" spans="1:28" x14ac:dyDescent="0.25">
      <c r="A59" s="9">
        <v>199</v>
      </c>
      <c r="B59">
        <v>1.3562879999999999</v>
      </c>
      <c r="C59">
        <f t="shared" si="0"/>
        <v>192</v>
      </c>
      <c r="D59">
        <v>1.352247</v>
      </c>
      <c r="E59" s="9">
        <f t="shared" si="1"/>
        <v>189</v>
      </c>
      <c r="F59">
        <v>1.3576170000000001</v>
      </c>
      <c r="G59" s="9">
        <v>199</v>
      </c>
      <c r="H59">
        <v>1.28891</v>
      </c>
      <c r="I59">
        <v>189</v>
      </c>
      <c r="J59">
        <v>1.293056</v>
      </c>
      <c r="K59">
        <v>189</v>
      </c>
      <c r="L59">
        <v>1.2919050000000001</v>
      </c>
      <c r="M59" s="9">
        <v>199</v>
      </c>
      <c r="N59">
        <v>1.3400650000000001</v>
      </c>
      <c r="O59">
        <v>187</v>
      </c>
      <c r="P59">
        <v>1.3398650000000001</v>
      </c>
      <c r="Q59">
        <v>193</v>
      </c>
      <c r="R59">
        <v>1.3392839999999999</v>
      </c>
      <c r="V59" s="10" cm="1">
        <f t="array" ref="V5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58)+1),6),"")</f>
        <v>0.146645</v>
      </c>
      <c r="W59" s="11">
        <f t="shared" si="2"/>
        <v>2404.2053907280015</v>
      </c>
      <c r="X59" s="15"/>
      <c r="Y59" s="30">
        <v>0.15657699999999999</v>
      </c>
      <c r="Z59" s="31"/>
      <c r="AA59" s="32"/>
      <c r="AB59" s="34">
        <v>876370.47500000009</v>
      </c>
    </row>
    <row r="60" spans="1:28" x14ac:dyDescent="0.25">
      <c r="A60" s="9">
        <v>198</v>
      </c>
      <c r="B60">
        <v>1.353275</v>
      </c>
      <c r="C60">
        <f t="shared" si="0"/>
        <v>191</v>
      </c>
      <c r="D60">
        <v>1.3546039999999999</v>
      </c>
      <c r="E60" s="9">
        <f t="shared" si="1"/>
        <v>188</v>
      </c>
      <c r="F60">
        <v>1.3547309999999999</v>
      </c>
      <c r="G60" s="9">
        <v>198</v>
      </c>
      <c r="H60">
        <v>1.2863720000000001</v>
      </c>
      <c r="I60">
        <v>188</v>
      </c>
      <c r="J60">
        <v>1.2902039999999999</v>
      </c>
      <c r="K60">
        <v>188</v>
      </c>
      <c r="L60">
        <v>1.289636</v>
      </c>
      <c r="M60" s="9">
        <v>198</v>
      </c>
      <c r="N60">
        <v>1.3372440000000001</v>
      </c>
      <c r="O60">
        <v>186</v>
      </c>
      <c r="P60">
        <v>1.33724</v>
      </c>
      <c r="Q60">
        <v>192</v>
      </c>
      <c r="R60">
        <v>1.3369310000000001</v>
      </c>
      <c r="V60" s="10" cm="1">
        <f t="array" ref="V6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59)+1),6),"")</f>
        <v>0.14965800000000001</v>
      </c>
      <c r="W60" s="11">
        <f t="shared" si="2"/>
        <v>2453.6027165302007</v>
      </c>
      <c r="X60" s="15"/>
      <c r="Y60" s="30">
        <v>0.15861600000000001</v>
      </c>
      <c r="Z60" s="31"/>
      <c r="AA60" s="32"/>
      <c r="AB60" s="34">
        <v>890574.39250000007</v>
      </c>
    </row>
    <row r="61" spans="1:28" x14ac:dyDescent="0.25">
      <c r="A61" s="9">
        <v>197</v>
      </c>
      <c r="B61">
        <v>1.350978</v>
      </c>
      <c r="C61">
        <f t="shared" si="0"/>
        <v>190</v>
      </c>
      <c r="D61">
        <v>1.3517570000000001</v>
      </c>
      <c r="E61" s="9">
        <f t="shared" si="1"/>
        <v>187</v>
      </c>
      <c r="F61">
        <v>1.352932</v>
      </c>
      <c r="G61" s="9">
        <v>197</v>
      </c>
      <c r="H61">
        <v>1.283871</v>
      </c>
      <c r="I61">
        <v>187</v>
      </c>
      <c r="J61">
        <v>1.2868889999999999</v>
      </c>
      <c r="K61">
        <v>187</v>
      </c>
      <c r="L61">
        <v>1.285903</v>
      </c>
      <c r="M61" s="9">
        <v>197</v>
      </c>
      <c r="N61">
        <v>1.3348869999999999</v>
      </c>
      <c r="O61">
        <v>185</v>
      </c>
      <c r="P61">
        <v>1.333979</v>
      </c>
      <c r="Q61">
        <v>191</v>
      </c>
      <c r="R61">
        <v>1.336786</v>
      </c>
      <c r="V61" s="10" cm="1">
        <f t="array" ref="V6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60)+1),6),"")</f>
        <v>0.15195500000000001</v>
      </c>
      <c r="W61" s="11">
        <f t="shared" si="2"/>
        <v>2491.2614146276619</v>
      </c>
      <c r="X61" s="15"/>
      <c r="Y61" s="30">
        <v>0.162638</v>
      </c>
      <c r="Z61" s="31">
        <v>36.5</v>
      </c>
      <c r="AA61" s="32">
        <v>904778.31</v>
      </c>
      <c r="AB61" s="34">
        <v>904778.31</v>
      </c>
    </row>
    <row r="62" spans="1:28" x14ac:dyDescent="0.25">
      <c r="A62" s="9">
        <v>196</v>
      </c>
      <c r="B62">
        <v>1.3481590000000001</v>
      </c>
      <c r="C62">
        <f t="shared" si="0"/>
        <v>189</v>
      </c>
      <c r="D62">
        <v>1.348301</v>
      </c>
      <c r="E62" s="9">
        <f t="shared" si="1"/>
        <v>186</v>
      </c>
      <c r="F62">
        <v>1.349915</v>
      </c>
      <c r="G62" s="9">
        <v>196</v>
      </c>
      <c r="H62">
        <v>1.280993</v>
      </c>
      <c r="I62">
        <v>186</v>
      </c>
      <c r="J62">
        <v>1.284203</v>
      </c>
      <c r="K62">
        <v>186</v>
      </c>
      <c r="L62">
        <v>1.283309</v>
      </c>
      <c r="M62" s="9">
        <v>196</v>
      </c>
      <c r="N62">
        <v>1.3321179999999999</v>
      </c>
      <c r="O62">
        <v>184</v>
      </c>
      <c r="P62">
        <v>1.331642</v>
      </c>
      <c r="Q62">
        <v>190</v>
      </c>
      <c r="R62">
        <v>1.334565</v>
      </c>
      <c r="V62" s="10" cm="1">
        <f t="array" ref="V6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61)+1),6),"")</f>
        <v>0.15477399999999999</v>
      </c>
      <c r="W62" s="11">
        <f t="shared" si="2"/>
        <v>2537.4781625322084</v>
      </c>
      <c r="X62" s="15"/>
      <c r="Y62" s="30">
        <v>0.164793</v>
      </c>
      <c r="Z62" s="31"/>
      <c r="AA62" s="32"/>
      <c r="AB62" s="34">
        <v>915903.24700000009</v>
      </c>
    </row>
    <row r="63" spans="1:28" x14ac:dyDescent="0.25">
      <c r="A63" s="9">
        <v>195</v>
      </c>
      <c r="B63">
        <v>1.3449690000000001</v>
      </c>
      <c r="C63">
        <f t="shared" si="0"/>
        <v>188</v>
      </c>
      <c r="D63">
        <v>1.3451919999999999</v>
      </c>
      <c r="E63" s="9">
        <f t="shared" si="1"/>
        <v>185</v>
      </c>
      <c r="F63">
        <v>1.3480369999999999</v>
      </c>
      <c r="G63" s="9">
        <v>195</v>
      </c>
      <c r="H63">
        <v>1.277909</v>
      </c>
      <c r="I63">
        <v>185</v>
      </c>
      <c r="J63">
        <v>1.2815099999999999</v>
      </c>
      <c r="K63">
        <v>185</v>
      </c>
      <c r="L63">
        <v>1.28068</v>
      </c>
      <c r="M63" s="9">
        <v>195</v>
      </c>
      <c r="N63">
        <v>1.3291090000000001</v>
      </c>
      <c r="O63">
        <v>183</v>
      </c>
      <c r="P63">
        <v>1.3289059999999999</v>
      </c>
      <c r="Q63">
        <v>189</v>
      </c>
      <c r="R63">
        <v>1.3314760000000001</v>
      </c>
      <c r="V63" s="10" cm="1">
        <f t="array" ref="V6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62)+1),6),"")</f>
        <v>0.15796399999999999</v>
      </c>
      <c r="W63" s="11">
        <f t="shared" si="2"/>
        <v>2589.7773557977293</v>
      </c>
      <c r="X63" s="15"/>
      <c r="Y63" s="30">
        <v>0.167491</v>
      </c>
      <c r="Z63" s="31"/>
      <c r="AA63" s="32"/>
      <c r="AB63" s="34">
        <v>927028.18400000012</v>
      </c>
    </row>
    <row r="64" spans="1:28" x14ac:dyDescent="0.25">
      <c r="A64" s="9">
        <v>194</v>
      </c>
      <c r="B64">
        <v>1.342198</v>
      </c>
      <c r="C64">
        <f t="shared" si="0"/>
        <v>187</v>
      </c>
      <c r="D64">
        <v>1.3442480000000001</v>
      </c>
      <c r="E64" s="9">
        <f t="shared" si="1"/>
        <v>184</v>
      </c>
      <c r="F64">
        <v>1.3445990000000001</v>
      </c>
      <c r="G64" s="9">
        <v>194</v>
      </c>
      <c r="H64">
        <v>1.2750490000000001</v>
      </c>
      <c r="I64">
        <v>184</v>
      </c>
      <c r="J64">
        <v>1.2787489999999999</v>
      </c>
      <c r="K64">
        <v>184</v>
      </c>
      <c r="L64">
        <v>1.2779769999999999</v>
      </c>
      <c r="M64" s="9">
        <v>194</v>
      </c>
      <c r="N64">
        <v>1.326587</v>
      </c>
      <c r="O64">
        <v>182</v>
      </c>
      <c r="P64">
        <v>1.326298</v>
      </c>
      <c r="Q64">
        <v>188</v>
      </c>
      <c r="R64">
        <v>1.328862</v>
      </c>
      <c r="V64" s="10" cm="1">
        <f t="array" ref="V6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63)+1),6),"")</f>
        <v>0.16073499999999999</v>
      </c>
      <c r="W64" s="11">
        <f t="shared" si="2"/>
        <v>2635.2071565935785</v>
      </c>
      <c r="X64" s="15"/>
      <c r="Y64" s="30">
        <v>0.16844600000000001</v>
      </c>
      <c r="Z64" s="31"/>
      <c r="AA64" s="32"/>
      <c r="AB64" s="34">
        <v>938153.12100000016</v>
      </c>
    </row>
    <row r="65" spans="1:28" x14ac:dyDescent="0.25">
      <c r="A65" s="9">
        <v>193</v>
      </c>
      <c r="B65">
        <v>1.3396969999999999</v>
      </c>
      <c r="C65">
        <f t="shared" si="0"/>
        <v>186</v>
      </c>
      <c r="D65">
        <v>1.34124</v>
      </c>
      <c r="E65" s="9">
        <f t="shared" si="1"/>
        <v>183</v>
      </c>
      <c r="F65">
        <v>1.340155</v>
      </c>
      <c r="G65" s="9">
        <v>193</v>
      </c>
      <c r="H65">
        <v>1.2724979999999999</v>
      </c>
      <c r="I65">
        <v>183</v>
      </c>
      <c r="J65">
        <v>1.2749680000000001</v>
      </c>
      <c r="K65">
        <v>183</v>
      </c>
      <c r="L65">
        <v>1.274402</v>
      </c>
      <c r="M65" s="9">
        <v>193</v>
      </c>
      <c r="N65">
        <v>1.323866</v>
      </c>
      <c r="O65">
        <v>181</v>
      </c>
      <c r="P65">
        <v>1.3231930000000001</v>
      </c>
      <c r="Q65">
        <v>187</v>
      </c>
      <c r="R65">
        <v>1.325634</v>
      </c>
      <c r="V65" s="10" cm="1">
        <f t="array" ref="V6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64)+1),6),"")</f>
        <v>0.16323599999999999</v>
      </c>
      <c r="W65" s="11">
        <f t="shared" si="2"/>
        <v>2676.2103799030042</v>
      </c>
      <c r="X65" s="15"/>
      <c r="Y65" s="30">
        <v>0.16984199999999999</v>
      </c>
      <c r="Z65" s="31"/>
      <c r="AA65" s="32"/>
      <c r="AB65" s="34">
        <v>949278.05800000019</v>
      </c>
    </row>
    <row r="66" spans="1:28" x14ac:dyDescent="0.25">
      <c r="A66" s="9">
        <v>192</v>
      </c>
      <c r="B66">
        <v>1.337056</v>
      </c>
      <c r="C66">
        <f t="shared" si="0"/>
        <v>185</v>
      </c>
      <c r="D66">
        <v>1.337915</v>
      </c>
      <c r="E66" s="9">
        <f t="shared" si="1"/>
        <v>182</v>
      </c>
      <c r="F66">
        <v>1.3368260000000001</v>
      </c>
      <c r="G66" s="9">
        <v>192</v>
      </c>
      <c r="H66">
        <v>1.269895</v>
      </c>
      <c r="I66">
        <v>182</v>
      </c>
      <c r="J66">
        <v>1.2722150000000001</v>
      </c>
      <c r="K66">
        <v>182</v>
      </c>
      <c r="L66">
        <v>1.2719689999999999</v>
      </c>
      <c r="M66" s="9">
        <v>192</v>
      </c>
      <c r="N66">
        <v>1.3211250000000001</v>
      </c>
      <c r="O66">
        <v>180</v>
      </c>
      <c r="P66">
        <v>1.3203119999999999</v>
      </c>
      <c r="Q66">
        <v>186</v>
      </c>
      <c r="R66">
        <v>1.3231200000000001</v>
      </c>
      <c r="V66" s="10" cm="1">
        <f t="array" ref="V6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65)+1),6),"")</f>
        <v>0.165877</v>
      </c>
      <c r="W66" s="11">
        <f t="shared" si="2"/>
        <v>2719.5088656127973</v>
      </c>
      <c r="X66" s="15"/>
      <c r="Y66" s="30">
        <v>0.17078699999999999</v>
      </c>
      <c r="Z66" s="31"/>
      <c r="AA66" s="32"/>
      <c r="AB66" s="34">
        <v>960402.99500000023</v>
      </c>
    </row>
    <row r="67" spans="1:28" x14ac:dyDescent="0.25">
      <c r="A67" s="9">
        <v>191</v>
      </c>
      <c r="B67">
        <v>1.3358749999999999</v>
      </c>
      <c r="C67">
        <f t="shared" si="0"/>
        <v>184</v>
      </c>
      <c r="D67">
        <v>1.3350249999999999</v>
      </c>
      <c r="E67" s="9">
        <f t="shared" si="1"/>
        <v>181</v>
      </c>
      <c r="F67">
        <v>1.3349519999999999</v>
      </c>
      <c r="G67" s="9">
        <v>191</v>
      </c>
      <c r="H67">
        <v>1.2738149999999999</v>
      </c>
      <c r="I67">
        <v>181</v>
      </c>
      <c r="J67">
        <v>1.269029</v>
      </c>
      <c r="K67">
        <v>181</v>
      </c>
      <c r="L67">
        <v>1.2694380000000001</v>
      </c>
      <c r="M67" s="9">
        <v>191</v>
      </c>
      <c r="N67">
        <v>1.324578</v>
      </c>
      <c r="O67">
        <v>179</v>
      </c>
      <c r="P67">
        <v>1.317469</v>
      </c>
      <c r="Q67">
        <v>185</v>
      </c>
      <c r="R67">
        <v>1.3201700000000001</v>
      </c>
      <c r="V67" s="10" cm="1">
        <f t="array" ref="V6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66)+1),6),"")</f>
        <v>0.16705800000000001</v>
      </c>
      <c r="W67" s="11">
        <f t="shared" si="2"/>
        <v>2738.8710434330424</v>
      </c>
      <c r="X67" s="15"/>
      <c r="Y67" s="30">
        <v>0.17380300000000001</v>
      </c>
      <c r="Z67" s="31"/>
      <c r="AA67" s="32"/>
      <c r="AB67" s="34">
        <v>971527.93200000026</v>
      </c>
    </row>
    <row r="68" spans="1:28" x14ac:dyDescent="0.25">
      <c r="A68" s="9">
        <v>190</v>
      </c>
      <c r="B68">
        <v>1.3333330000000001</v>
      </c>
      <c r="C68">
        <f t="shared" si="0"/>
        <v>183</v>
      </c>
      <c r="D68">
        <v>1.332298</v>
      </c>
      <c r="E68" s="9">
        <f t="shared" si="1"/>
        <v>180</v>
      </c>
      <c r="F68">
        <v>1.3317950000000001</v>
      </c>
      <c r="G68" s="9">
        <v>190</v>
      </c>
      <c r="H68">
        <v>1.2712889999999999</v>
      </c>
      <c r="I68">
        <v>180</v>
      </c>
      <c r="J68">
        <v>1.2665379999999999</v>
      </c>
      <c r="K68">
        <v>180</v>
      </c>
      <c r="L68">
        <v>1.2668470000000001</v>
      </c>
      <c r="M68" s="9">
        <v>190</v>
      </c>
      <c r="N68">
        <v>1.322003</v>
      </c>
      <c r="O68">
        <v>178</v>
      </c>
      <c r="P68">
        <v>1.3149420000000001</v>
      </c>
      <c r="Q68">
        <v>184</v>
      </c>
      <c r="R68">
        <v>1.3176890000000001</v>
      </c>
      <c r="V68" s="10" cm="1">
        <f t="array" ref="V6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67)+1),6),"")</f>
        <v>0.1696</v>
      </c>
      <c r="W68" s="11">
        <f t="shared" si="2"/>
        <v>2780.5464507311472</v>
      </c>
      <c r="X68" s="15"/>
      <c r="Y68" s="30">
        <v>0.17468</v>
      </c>
      <c r="Z68" s="31"/>
      <c r="AA68" s="32"/>
      <c r="AB68" s="34">
        <v>982652.8690000003</v>
      </c>
    </row>
    <row r="69" spans="1:28" x14ac:dyDescent="0.25">
      <c r="A69" s="9">
        <v>189</v>
      </c>
      <c r="B69">
        <v>1.3307290000000001</v>
      </c>
      <c r="C69">
        <f t="shared" ref="C69:C132" si="3">C68-1</f>
        <v>182</v>
      </c>
      <c r="D69">
        <v>1.3291740000000001</v>
      </c>
      <c r="E69" s="9">
        <f t="shared" ref="E69:E132" si="4">E68-1</f>
        <v>179</v>
      </c>
      <c r="F69">
        <v>1.3297920000000001</v>
      </c>
      <c r="G69" s="9">
        <v>189</v>
      </c>
      <c r="H69">
        <v>1.268572</v>
      </c>
      <c r="I69">
        <v>179</v>
      </c>
      <c r="J69">
        <v>1.2633570000000001</v>
      </c>
      <c r="K69">
        <v>179</v>
      </c>
      <c r="L69">
        <v>1.26285</v>
      </c>
      <c r="M69" s="9">
        <v>189</v>
      </c>
      <c r="N69">
        <v>1.3193859999999999</v>
      </c>
      <c r="O69">
        <v>177</v>
      </c>
      <c r="P69">
        <v>1.311898</v>
      </c>
      <c r="Q69">
        <v>183</v>
      </c>
      <c r="R69">
        <v>1.315231</v>
      </c>
      <c r="V69" s="10" cm="1">
        <f t="array" ref="V6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68)+1),6),"")</f>
        <v>0.172204</v>
      </c>
      <c r="W69" s="11">
        <f t="shared" ref="W69:W132" si="5">V69*16394.7314311978</f>
        <v>2823.238331377986</v>
      </c>
      <c r="X69" s="15"/>
      <c r="Y69" s="30">
        <v>0.17605100000000001</v>
      </c>
      <c r="Z69" s="31"/>
      <c r="AA69" s="32"/>
      <c r="AB69" s="34">
        <v>993777.80600000033</v>
      </c>
    </row>
    <row r="70" spans="1:28" x14ac:dyDescent="0.25">
      <c r="A70" s="9">
        <v>188</v>
      </c>
      <c r="B70">
        <v>1.3277019999999999</v>
      </c>
      <c r="C70">
        <f t="shared" si="3"/>
        <v>181</v>
      </c>
      <c r="D70">
        <v>1.3259650000000001</v>
      </c>
      <c r="E70" s="9">
        <f t="shared" si="4"/>
        <v>178</v>
      </c>
      <c r="F70">
        <v>1.3268390000000001</v>
      </c>
      <c r="G70" s="9">
        <v>188</v>
      </c>
      <c r="H70">
        <v>1.2659370000000001</v>
      </c>
      <c r="I70">
        <v>178</v>
      </c>
      <c r="J70">
        <v>1.260378</v>
      </c>
      <c r="K70">
        <v>178</v>
      </c>
      <c r="L70">
        <v>1.2604789999999999</v>
      </c>
      <c r="M70" s="9">
        <v>188</v>
      </c>
      <c r="N70">
        <v>1.316298</v>
      </c>
      <c r="O70">
        <v>176</v>
      </c>
      <c r="P70">
        <v>1.3090919999999999</v>
      </c>
      <c r="Q70">
        <v>182</v>
      </c>
      <c r="R70">
        <v>1.312846</v>
      </c>
      <c r="V70" s="10" cm="1">
        <f t="array" ref="V7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69)+1),6),"")</f>
        <v>0.175231</v>
      </c>
      <c r="W70" s="11">
        <f t="shared" si="5"/>
        <v>2872.8651834202219</v>
      </c>
      <c r="X70" s="15"/>
      <c r="Y70" s="30">
        <v>0.17682300000000001</v>
      </c>
      <c r="Z70" s="31"/>
      <c r="AA70" s="32"/>
      <c r="AB70" s="34">
        <v>1004902.7430000004</v>
      </c>
    </row>
    <row r="71" spans="1:28" x14ac:dyDescent="0.25">
      <c r="A71" s="9">
        <v>187</v>
      </c>
      <c r="B71">
        <v>1.324783</v>
      </c>
      <c r="C71">
        <f t="shared" si="3"/>
        <v>180</v>
      </c>
      <c r="D71">
        <v>1.323221</v>
      </c>
      <c r="E71" s="9">
        <f t="shared" si="4"/>
        <v>177</v>
      </c>
      <c r="F71">
        <v>1.3248180000000001</v>
      </c>
      <c r="G71" s="9">
        <v>187</v>
      </c>
      <c r="H71">
        <v>1.2625470000000001</v>
      </c>
      <c r="I71">
        <v>177</v>
      </c>
      <c r="J71">
        <v>1.2577149999999999</v>
      </c>
      <c r="K71">
        <v>177</v>
      </c>
      <c r="L71">
        <v>1.2577959999999999</v>
      </c>
      <c r="M71" s="9">
        <v>187</v>
      </c>
      <c r="N71">
        <v>1.313752</v>
      </c>
      <c r="O71">
        <v>175</v>
      </c>
      <c r="P71">
        <v>1.30775</v>
      </c>
      <c r="Q71">
        <v>181</v>
      </c>
      <c r="R71">
        <v>1.309563</v>
      </c>
      <c r="V71" s="10" cm="1">
        <f t="array" ref="V7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70)+1),6),"")</f>
        <v>0.17815</v>
      </c>
      <c r="W71" s="11">
        <f t="shared" si="5"/>
        <v>2920.7214044678881</v>
      </c>
      <c r="X71" s="15"/>
      <c r="Y71" s="30">
        <v>0.17966299999999999</v>
      </c>
      <c r="Z71" s="31">
        <v>36</v>
      </c>
      <c r="AA71" s="32">
        <v>1016027.68</v>
      </c>
      <c r="AB71" s="34">
        <v>1016027.6800000004</v>
      </c>
    </row>
    <row r="72" spans="1:28" x14ac:dyDescent="0.25">
      <c r="A72" s="9">
        <v>186</v>
      </c>
      <c r="B72">
        <v>1.3218190000000001</v>
      </c>
      <c r="C72">
        <f t="shared" si="3"/>
        <v>179</v>
      </c>
      <c r="D72">
        <v>1.3222480000000001</v>
      </c>
      <c r="E72" s="9">
        <f t="shared" si="4"/>
        <v>176</v>
      </c>
      <c r="F72">
        <v>1.3217239999999999</v>
      </c>
      <c r="G72" s="9">
        <v>186</v>
      </c>
      <c r="H72">
        <v>1.2598069999999999</v>
      </c>
      <c r="I72">
        <v>176</v>
      </c>
      <c r="J72">
        <v>1.2545630000000001</v>
      </c>
      <c r="K72">
        <v>176</v>
      </c>
      <c r="L72">
        <v>1.2555019999999999</v>
      </c>
      <c r="M72" s="9">
        <v>186</v>
      </c>
      <c r="N72">
        <v>1.3110630000000001</v>
      </c>
      <c r="O72">
        <v>174</v>
      </c>
      <c r="P72">
        <v>1.305375</v>
      </c>
      <c r="Q72">
        <v>180</v>
      </c>
      <c r="R72">
        <v>1.3071980000000001</v>
      </c>
      <c r="V72" s="10" cm="1">
        <f t="array" ref="V7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71)+1),6),"")</f>
        <v>0.181114</v>
      </c>
      <c r="W72" s="11">
        <f t="shared" si="5"/>
        <v>2969.3153884299586</v>
      </c>
      <c r="X72" s="15"/>
      <c r="Y72" s="30">
        <v>0.181891</v>
      </c>
      <c r="Z72" s="31"/>
      <c r="AA72" s="32"/>
      <c r="AB72" s="34">
        <v>1028516.4644444449</v>
      </c>
    </row>
    <row r="73" spans="1:28" x14ac:dyDescent="0.25">
      <c r="A73" s="9">
        <v>185</v>
      </c>
      <c r="B73">
        <v>1.3189280000000001</v>
      </c>
      <c r="C73">
        <f t="shared" si="3"/>
        <v>178</v>
      </c>
      <c r="D73">
        <v>1.318918</v>
      </c>
      <c r="E73" s="9">
        <f t="shared" si="4"/>
        <v>175</v>
      </c>
      <c r="F73">
        <v>1.319499</v>
      </c>
      <c r="G73" s="9">
        <v>185</v>
      </c>
      <c r="H73">
        <v>1.257277</v>
      </c>
      <c r="I73">
        <v>175</v>
      </c>
      <c r="J73">
        <v>1.2556259999999999</v>
      </c>
      <c r="K73">
        <v>175</v>
      </c>
      <c r="L73">
        <v>1.254729</v>
      </c>
      <c r="M73" s="9">
        <v>185</v>
      </c>
      <c r="N73">
        <v>1.3084519999999999</v>
      </c>
      <c r="O73">
        <v>173</v>
      </c>
      <c r="P73">
        <v>1.302414</v>
      </c>
      <c r="Q73">
        <v>179</v>
      </c>
      <c r="R73">
        <v>1.3037920000000001</v>
      </c>
      <c r="V73" s="10" cm="1">
        <f t="array" ref="V7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72)+1),6),"")</f>
        <v>0.184005</v>
      </c>
      <c r="W73" s="11">
        <f t="shared" si="5"/>
        <v>3016.7125569975515</v>
      </c>
      <c r="X73" s="15"/>
      <c r="Y73" s="30">
        <v>0.18585299999999999</v>
      </c>
      <c r="Z73" s="31"/>
      <c r="AA73" s="32"/>
      <c r="AB73" s="34">
        <v>1041005.2488888893</v>
      </c>
    </row>
    <row r="74" spans="1:28" x14ac:dyDescent="0.25">
      <c r="A74" s="9">
        <v>184</v>
      </c>
      <c r="B74">
        <v>1.316419</v>
      </c>
      <c r="C74">
        <f t="shared" si="3"/>
        <v>177</v>
      </c>
      <c r="D74">
        <v>1.3155019999999999</v>
      </c>
      <c r="E74" s="9">
        <f t="shared" si="4"/>
        <v>174</v>
      </c>
      <c r="F74">
        <v>1.315995</v>
      </c>
      <c r="G74" s="9">
        <v>184</v>
      </c>
      <c r="H74">
        <v>1.2547470000000001</v>
      </c>
      <c r="I74">
        <v>174</v>
      </c>
      <c r="J74">
        <v>1.2528170000000001</v>
      </c>
      <c r="K74">
        <v>174</v>
      </c>
      <c r="L74">
        <v>1.252294</v>
      </c>
      <c r="M74" s="9">
        <v>184</v>
      </c>
      <c r="N74">
        <v>1.305663</v>
      </c>
      <c r="O74">
        <v>172</v>
      </c>
      <c r="P74">
        <v>1.2997829999999999</v>
      </c>
      <c r="Q74">
        <v>178</v>
      </c>
      <c r="R74">
        <v>1.3012509999999999</v>
      </c>
      <c r="V74" s="10" cm="1">
        <f t="array" ref="V7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73)+1),6),"")</f>
        <v>0.18651400000000001</v>
      </c>
      <c r="W74" s="11">
        <f t="shared" si="5"/>
        <v>3057.8469381584268</v>
      </c>
      <c r="X74" s="15"/>
      <c r="Y74" s="30">
        <v>0.18815000000000001</v>
      </c>
      <c r="Z74" s="31"/>
      <c r="AA74" s="32"/>
      <c r="AB74" s="34">
        <v>1053494.0333333337</v>
      </c>
    </row>
    <row r="75" spans="1:28" x14ac:dyDescent="0.25">
      <c r="A75" s="9">
        <v>183</v>
      </c>
      <c r="B75">
        <v>1.315542</v>
      </c>
      <c r="C75">
        <f t="shared" si="3"/>
        <v>176</v>
      </c>
      <c r="D75">
        <v>1.3127150000000001</v>
      </c>
      <c r="E75" s="9">
        <f t="shared" si="4"/>
        <v>173</v>
      </c>
      <c r="F75">
        <v>1.314195</v>
      </c>
      <c r="G75" s="9">
        <v>183</v>
      </c>
      <c r="H75">
        <v>1.2524630000000001</v>
      </c>
      <c r="I75">
        <v>173</v>
      </c>
      <c r="J75">
        <v>1.2499880000000001</v>
      </c>
      <c r="K75">
        <v>173</v>
      </c>
      <c r="L75">
        <v>1.2494689999999999</v>
      </c>
      <c r="M75" s="9">
        <v>183</v>
      </c>
      <c r="N75">
        <v>1.303261</v>
      </c>
      <c r="O75">
        <v>171</v>
      </c>
      <c r="P75">
        <v>1.2967139999999999</v>
      </c>
      <c r="Q75">
        <v>177</v>
      </c>
      <c r="R75">
        <v>1.298197</v>
      </c>
      <c r="V75" s="10" cm="1">
        <f t="array" ref="V7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74)+1),6),"")</f>
        <v>0.187391</v>
      </c>
      <c r="W75" s="11">
        <f t="shared" si="5"/>
        <v>3072.2251176235873</v>
      </c>
      <c r="X75" s="15"/>
      <c r="Y75" s="30">
        <v>0.19009899999999999</v>
      </c>
      <c r="Z75" s="31"/>
      <c r="AA75" s="32"/>
      <c r="AB75" s="34">
        <v>1065982.817777778</v>
      </c>
    </row>
    <row r="76" spans="1:28" x14ac:dyDescent="0.25">
      <c r="A76" s="9">
        <v>182</v>
      </c>
      <c r="B76">
        <v>1.3128310000000001</v>
      </c>
      <c r="C76">
        <f t="shared" si="3"/>
        <v>175</v>
      </c>
      <c r="D76">
        <v>1.3116190000000001</v>
      </c>
      <c r="E76" s="9">
        <f t="shared" si="4"/>
        <v>172</v>
      </c>
      <c r="F76">
        <v>1.3110360000000001</v>
      </c>
      <c r="G76" s="9">
        <v>182</v>
      </c>
      <c r="H76">
        <v>1.2498</v>
      </c>
      <c r="I76">
        <v>172</v>
      </c>
      <c r="J76">
        <v>1.247028</v>
      </c>
      <c r="K76">
        <v>172</v>
      </c>
      <c r="L76">
        <v>1.247234</v>
      </c>
      <c r="M76" s="9">
        <v>182</v>
      </c>
      <c r="N76">
        <v>1.300791</v>
      </c>
      <c r="O76">
        <v>170</v>
      </c>
      <c r="P76">
        <v>1.2938670000000001</v>
      </c>
      <c r="Q76">
        <v>176</v>
      </c>
      <c r="R76">
        <v>1.295501</v>
      </c>
      <c r="V76" s="10" cm="1">
        <f t="array" ref="V7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75)+1),6),"")</f>
        <v>0.19010199999999999</v>
      </c>
      <c r="W76" s="11">
        <f t="shared" si="5"/>
        <v>3116.6712345335641</v>
      </c>
      <c r="X76" s="15"/>
      <c r="Y76" s="30">
        <v>0.192352</v>
      </c>
      <c r="Z76" s="31"/>
      <c r="AA76" s="32"/>
      <c r="AB76" s="34">
        <v>1078471.6022222224</v>
      </c>
    </row>
    <row r="77" spans="1:28" x14ac:dyDescent="0.25">
      <c r="A77" s="9">
        <v>181</v>
      </c>
      <c r="B77">
        <v>1.3099190000000001</v>
      </c>
      <c r="C77">
        <f t="shared" si="3"/>
        <v>174</v>
      </c>
      <c r="D77">
        <v>1.3086040000000001</v>
      </c>
      <c r="E77" s="9">
        <f t="shared" si="4"/>
        <v>171</v>
      </c>
      <c r="F77">
        <v>1.309409</v>
      </c>
      <c r="G77" s="9">
        <v>181</v>
      </c>
      <c r="H77">
        <v>1.246947</v>
      </c>
      <c r="I77">
        <v>171</v>
      </c>
      <c r="J77">
        <v>1.24373</v>
      </c>
      <c r="K77">
        <v>171</v>
      </c>
      <c r="L77">
        <v>1.24329</v>
      </c>
      <c r="M77" s="9">
        <v>181</v>
      </c>
      <c r="N77">
        <v>1.29806</v>
      </c>
      <c r="O77">
        <v>169</v>
      </c>
      <c r="P77">
        <v>1.2908710000000001</v>
      </c>
      <c r="Q77">
        <v>175</v>
      </c>
      <c r="R77">
        <v>1.292956</v>
      </c>
      <c r="V77" s="10" cm="1">
        <f t="array" ref="V7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76)+1),6),"")</f>
        <v>0.19301399999999999</v>
      </c>
      <c r="W77" s="11">
        <f t="shared" si="5"/>
        <v>3164.4126924612124</v>
      </c>
      <c r="X77" s="15"/>
      <c r="Y77" s="30">
        <v>0.19617000000000001</v>
      </c>
      <c r="Z77" s="31"/>
      <c r="AA77" s="32"/>
      <c r="AB77" s="34">
        <v>1090960.3866666667</v>
      </c>
    </row>
    <row r="78" spans="1:28" x14ac:dyDescent="0.25">
      <c r="A78" s="9">
        <v>180</v>
      </c>
      <c r="B78">
        <v>1.3071170000000001</v>
      </c>
      <c r="C78">
        <f t="shared" si="3"/>
        <v>173</v>
      </c>
      <c r="D78">
        <v>1.305358</v>
      </c>
      <c r="E78" s="9">
        <f t="shared" si="4"/>
        <v>170</v>
      </c>
      <c r="F78">
        <v>1.3063439999999999</v>
      </c>
      <c r="G78" s="9">
        <v>180</v>
      </c>
      <c r="H78">
        <v>1.244637</v>
      </c>
      <c r="I78">
        <v>170</v>
      </c>
      <c r="J78">
        <v>1.24095</v>
      </c>
      <c r="K78">
        <v>170</v>
      </c>
      <c r="L78">
        <v>1.240683</v>
      </c>
      <c r="M78" s="9">
        <v>180</v>
      </c>
      <c r="N78">
        <v>1.29521</v>
      </c>
      <c r="O78">
        <v>168</v>
      </c>
      <c r="P78">
        <v>1.2881339999999999</v>
      </c>
      <c r="Q78">
        <v>174</v>
      </c>
      <c r="R78">
        <v>1.2903309999999999</v>
      </c>
      <c r="V78" s="10" cm="1">
        <f t="array" ref="V7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77)+1),6),"")</f>
        <v>0.19581599999999999</v>
      </c>
      <c r="W78" s="11">
        <f t="shared" si="5"/>
        <v>3210.3507299314283</v>
      </c>
      <c r="X78" s="15"/>
      <c r="Y78" s="30">
        <v>0.19848099999999999</v>
      </c>
      <c r="Z78" s="31"/>
      <c r="AA78" s="32"/>
      <c r="AB78" s="34">
        <v>1103449.1711111111</v>
      </c>
    </row>
    <row r="79" spans="1:28" x14ac:dyDescent="0.25">
      <c r="A79" s="9">
        <v>179</v>
      </c>
      <c r="B79">
        <v>1.3041769999999999</v>
      </c>
      <c r="C79">
        <f t="shared" si="3"/>
        <v>172</v>
      </c>
      <c r="D79">
        <v>1.3022339999999999</v>
      </c>
      <c r="E79" s="9">
        <f t="shared" si="4"/>
        <v>169</v>
      </c>
      <c r="F79">
        <v>1.303831</v>
      </c>
      <c r="G79" s="9">
        <v>179</v>
      </c>
      <c r="H79">
        <v>1.2412319999999999</v>
      </c>
      <c r="I79">
        <v>169</v>
      </c>
      <c r="J79">
        <v>1.238094</v>
      </c>
      <c r="K79">
        <v>169</v>
      </c>
      <c r="L79">
        <v>1.238143</v>
      </c>
      <c r="M79" s="9">
        <v>179</v>
      </c>
      <c r="N79">
        <v>1.2922560000000001</v>
      </c>
      <c r="O79">
        <v>167</v>
      </c>
      <c r="P79">
        <v>1.2855890000000001</v>
      </c>
      <c r="Q79">
        <v>173</v>
      </c>
      <c r="R79">
        <v>1.2875350000000001</v>
      </c>
      <c r="V79" s="10" cm="1">
        <f t="array" ref="V7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78)+1),6),"")</f>
        <v>0.19875599999999999</v>
      </c>
      <c r="W79" s="11">
        <f t="shared" si="5"/>
        <v>3258.5512403391499</v>
      </c>
      <c r="X79" s="15"/>
      <c r="Y79" s="30">
        <v>0.20138200000000001</v>
      </c>
      <c r="Z79" s="31"/>
      <c r="AA79" s="32"/>
      <c r="AB79" s="34">
        <v>1115937.9555555554</v>
      </c>
    </row>
    <row r="80" spans="1:28" x14ac:dyDescent="0.25">
      <c r="A80" s="9">
        <v>178</v>
      </c>
      <c r="B80">
        <v>1.3013809999999999</v>
      </c>
      <c r="C80">
        <f t="shared" si="3"/>
        <v>171</v>
      </c>
      <c r="D80">
        <v>1.3011809999999999</v>
      </c>
      <c r="E80" s="9">
        <f t="shared" si="4"/>
        <v>168</v>
      </c>
      <c r="F80">
        <v>1.301031</v>
      </c>
      <c r="G80" s="9">
        <v>178</v>
      </c>
      <c r="H80">
        <v>1.238588</v>
      </c>
      <c r="I80">
        <v>168</v>
      </c>
      <c r="J80">
        <v>1.2351160000000001</v>
      </c>
      <c r="K80">
        <v>168</v>
      </c>
      <c r="L80">
        <v>1.2355080000000001</v>
      </c>
      <c r="M80" s="9">
        <v>178</v>
      </c>
      <c r="N80">
        <v>1.289539</v>
      </c>
      <c r="O80">
        <v>166</v>
      </c>
      <c r="P80">
        <v>1.2830239999999999</v>
      </c>
      <c r="Q80">
        <v>172</v>
      </c>
      <c r="R80">
        <v>1.285191</v>
      </c>
      <c r="V80" s="10" cm="1">
        <f t="array" ref="V8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79)+1),6),"")</f>
        <v>0.20155200000000001</v>
      </c>
      <c r="W80" s="11">
        <f t="shared" si="5"/>
        <v>3304.3909094207793</v>
      </c>
      <c r="X80" s="15"/>
      <c r="Y80" s="30">
        <v>0.203539</v>
      </c>
      <c r="Z80" s="31">
        <v>35.5</v>
      </c>
      <c r="AA80" s="32">
        <v>1128426.74</v>
      </c>
      <c r="AB80" s="34">
        <v>1128426.7399999998</v>
      </c>
    </row>
    <row r="81" spans="1:28" x14ac:dyDescent="0.25">
      <c r="A81" s="9">
        <v>177</v>
      </c>
      <c r="B81">
        <v>1.298864</v>
      </c>
      <c r="C81">
        <f t="shared" si="3"/>
        <v>170</v>
      </c>
      <c r="D81">
        <v>1.298295</v>
      </c>
      <c r="E81" s="9">
        <f t="shared" si="4"/>
        <v>167</v>
      </c>
      <c r="F81">
        <v>1.2961800000000001</v>
      </c>
      <c r="G81" s="9">
        <v>177</v>
      </c>
      <c r="H81">
        <v>1.235824</v>
      </c>
      <c r="I81">
        <v>167</v>
      </c>
      <c r="J81">
        <v>1.2314400000000001</v>
      </c>
      <c r="K81">
        <v>167</v>
      </c>
      <c r="L81">
        <v>1.2318610000000001</v>
      </c>
      <c r="M81" s="9">
        <v>177</v>
      </c>
      <c r="N81">
        <v>1.286985</v>
      </c>
      <c r="O81">
        <v>165</v>
      </c>
      <c r="P81">
        <v>1.279782</v>
      </c>
      <c r="Q81">
        <v>171</v>
      </c>
      <c r="R81">
        <v>1.281569</v>
      </c>
      <c r="V81" s="10" cm="1">
        <f t="array" ref="V8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80)+1),6),"")</f>
        <v>0.204069</v>
      </c>
      <c r="W81" s="11">
        <f t="shared" si="5"/>
        <v>3345.6564484331038</v>
      </c>
      <c r="X81" s="15"/>
      <c r="Y81" s="30">
        <v>0.20783299999999999</v>
      </c>
      <c r="Z81" s="31"/>
      <c r="AA81" s="32"/>
      <c r="AB81" s="34">
        <v>1139634.0222222221</v>
      </c>
    </row>
    <row r="82" spans="1:28" x14ac:dyDescent="0.25">
      <c r="A82" s="9">
        <v>176</v>
      </c>
      <c r="B82">
        <v>1.295795</v>
      </c>
      <c r="C82">
        <f t="shared" si="3"/>
        <v>169</v>
      </c>
      <c r="D82">
        <v>1.294988</v>
      </c>
      <c r="E82" s="9">
        <f t="shared" si="4"/>
        <v>166</v>
      </c>
      <c r="F82">
        <v>1.293075</v>
      </c>
      <c r="G82" s="9">
        <v>176</v>
      </c>
      <c r="H82">
        <v>1.233133</v>
      </c>
      <c r="I82">
        <v>166</v>
      </c>
      <c r="J82">
        <v>1.228315</v>
      </c>
      <c r="K82">
        <v>166</v>
      </c>
      <c r="L82">
        <v>1.229284</v>
      </c>
      <c r="M82" s="9">
        <v>176</v>
      </c>
      <c r="N82">
        <v>1.284327</v>
      </c>
      <c r="O82">
        <v>164</v>
      </c>
      <c r="P82">
        <v>1.2770889999999999</v>
      </c>
      <c r="Q82">
        <v>170</v>
      </c>
      <c r="R82">
        <v>1.2791349999999999</v>
      </c>
      <c r="V82" s="10" cm="1">
        <f t="array" ref="V8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81)+1),6),"")</f>
        <v>0.20713799999999999</v>
      </c>
      <c r="W82" s="11">
        <f t="shared" si="5"/>
        <v>3395.9718791954497</v>
      </c>
      <c r="X82" s="15"/>
      <c r="Y82" s="30">
        <v>0.210198</v>
      </c>
      <c r="Z82" s="31"/>
      <c r="AA82" s="32"/>
      <c r="AB82" s="34">
        <v>1150841.3044444444</v>
      </c>
    </row>
    <row r="83" spans="1:28" x14ac:dyDescent="0.25">
      <c r="A83" s="9">
        <v>175</v>
      </c>
      <c r="B83">
        <v>1.291698</v>
      </c>
      <c r="C83">
        <f t="shared" si="3"/>
        <v>168</v>
      </c>
      <c r="D83">
        <v>1.29217</v>
      </c>
      <c r="E83" s="9">
        <f t="shared" si="4"/>
        <v>165</v>
      </c>
      <c r="F83">
        <v>1.2910010000000001</v>
      </c>
      <c r="G83" s="9">
        <v>175</v>
      </c>
      <c r="H83">
        <v>1.2314510000000001</v>
      </c>
      <c r="I83">
        <v>165</v>
      </c>
      <c r="J83">
        <v>1.2255419999999999</v>
      </c>
      <c r="K83">
        <v>165</v>
      </c>
      <c r="L83">
        <v>1.2267570000000001</v>
      </c>
      <c r="M83" s="9">
        <v>175</v>
      </c>
      <c r="N83">
        <v>1.283623</v>
      </c>
      <c r="O83">
        <v>163</v>
      </c>
      <c r="P83">
        <v>1.2741450000000001</v>
      </c>
      <c r="Q83">
        <v>169</v>
      </c>
      <c r="R83">
        <v>1.276335</v>
      </c>
      <c r="V83" s="10" cm="1">
        <f t="array" ref="V8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82)+1),6),"")</f>
        <v>0.21123500000000001</v>
      </c>
      <c r="W83" s="11">
        <f t="shared" si="5"/>
        <v>3463.1410938690674</v>
      </c>
      <c r="X83" s="15"/>
      <c r="Y83" s="30">
        <v>0.215395</v>
      </c>
      <c r="Z83" s="31"/>
      <c r="AA83" s="32"/>
      <c r="AB83" s="34">
        <v>1162048.5866666667</v>
      </c>
    </row>
    <row r="84" spans="1:28" x14ac:dyDescent="0.25">
      <c r="A84" s="9">
        <v>174</v>
      </c>
      <c r="B84">
        <v>1.2891220000000001</v>
      </c>
      <c r="C84">
        <f t="shared" si="3"/>
        <v>167</v>
      </c>
      <c r="D84">
        <v>1.289153</v>
      </c>
      <c r="E84" s="9">
        <f t="shared" si="4"/>
        <v>164</v>
      </c>
      <c r="F84">
        <v>1.2877860000000001</v>
      </c>
      <c r="G84" s="9">
        <v>174</v>
      </c>
      <c r="H84">
        <v>1.2289289999999999</v>
      </c>
      <c r="I84">
        <v>164</v>
      </c>
      <c r="J84">
        <v>1.222728</v>
      </c>
      <c r="K84">
        <v>164</v>
      </c>
      <c r="L84">
        <v>1.224094</v>
      </c>
      <c r="M84" s="9">
        <v>174</v>
      </c>
      <c r="N84">
        <v>1.2808820000000001</v>
      </c>
      <c r="O84">
        <v>162</v>
      </c>
      <c r="P84">
        <v>1.271523</v>
      </c>
      <c r="Q84">
        <v>168</v>
      </c>
      <c r="R84">
        <v>1.2740530000000001</v>
      </c>
      <c r="V84" s="10" cm="1">
        <f t="array" ref="V8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83)+1),6),"")</f>
        <v>0.213811</v>
      </c>
      <c r="W84" s="11">
        <f t="shared" si="5"/>
        <v>3505.3739220358329</v>
      </c>
      <c r="X84" s="15"/>
      <c r="Y84" s="30">
        <v>0.21720400000000001</v>
      </c>
      <c r="Z84" s="31"/>
      <c r="AA84" s="32"/>
      <c r="AB84" s="34">
        <v>1173255.868888889</v>
      </c>
    </row>
    <row r="85" spans="1:28" x14ac:dyDescent="0.25">
      <c r="A85" s="9">
        <v>173</v>
      </c>
      <c r="B85">
        <v>1.286373</v>
      </c>
      <c r="C85">
        <f t="shared" si="3"/>
        <v>166</v>
      </c>
      <c r="D85">
        <v>1.286521</v>
      </c>
      <c r="E85" s="9">
        <f t="shared" si="4"/>
        <v>163</v>
      </c>
      <c r="F85">
        <v>1.2860469999999999</v>
      </c>
      <c r="G85" s="9">
        <v>173</v>
      </c>
      <c r="H85">
        <v>1.2261299999999999</v>
      </c>
      <c r="I85">
        <v>163</v>
      </c>
      <c r="J85">
        <v>1.219484</v>
      </c>
      <c r="K85">
        <v>163</v>
      </c>
      <c r="L85">
        <v>1.2199329999999999</v>
      </c>
      <c r="M85" s="9">
        <v>173</v>
      </c>
      <c r="N85">
        <v>1.278019</v>
      </c>
      <c r="O85">
        <v>161</v>
      </c>
      <c r="P85">
        <v>1.26834</v>
      </c>
      <c r="Q85">
        <v>167</v>
      </c>
      <c r="R85">
        <v>1.2713669999999999</v>
      </c>
      <c r="V85" s="10" cm="1">
        <f t="array" ref="V8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84)+1),6),"")</f>
        <v>0.21656</v>
      </c>
      <c r="W85" s="11">
        <f t="shared" si="5"/>
        <v>3550.4430387401958</v>
      </c>
      <c r="X85" s="15"/>
      <c r="Y85" s="30">
        <v>0.22142500000000001</v>
      </c>
      <c r="Z85" s="31"/>
      <c r="AA85" s="32"/>
      <c r="AB85" s="34">
        <v>1184463.1511111113</v>
      </c>
    </row>
    <row r="86" spans="1:28" x14ac:dyDescent="0.25">
      <c r="A86" s="9">
        <v>172</v>
      </c>
      <c r="B86">
        <v>1.2835859999999999</v>
      </c>
      <c r="C86">
        <f t="shared" si="3"/>
        <v>165</v>
      </c>
      <c r="D86">
        <v>1.2832140000000001</v>
      </c>
      <c r="E86" s="9">
        <f t="shared" si="4"/>
        <v>162</v>
      </c>
      <c r="F86">
        <v>1.2829170000000001</v>
      </c>
      <c r="G86" s="9">
        <v>172</v>
      </c>
      <c r="H86">
        <v>1.223492</v>
      </c>
      <c r="I86">
        <v>162</v>
      </c>
      <c r="J86">
        <v>1.2165619999999999</v>
      </c>
      <c r="K86">
        <v>162</v>
      </c>
      <c r="L86">
        <v>1.2178310000000001</v>
      </c>
      <c r="M86" s="9">
        <v>172</v>
      </c>
      <c r="N86">
        <v>1.2752939999999999</v>
      </c>
      <c r="O86">
        <v>160</v>
      </c>
      <c r="P86">
        <v>1.265388</v>
      </c>
      <c r="Q86">
        <v>166</v>
      </c>
      <c r="R86">
        <v>1.2688349999999999</v>
      </c>
      <c r="V86" s="10" cm="1">
        <f t="array" ref="V8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85)+1),6),"")</f>
        <v>0.21934699999999999</v>
      </c>
      <c r="W86" s="11">
        <f t="shared" si="5"/>
        <v>3596.1351552389438</v>
      </c>
      <c r="X86" s="15"/>
      <c r="Y86" s="30">
        <v>0.22378400000000001</v>
      </c>
      <c r="Z86" s="31"/>
      <c r="AA86" s="32"/>
      <c r="AB86" s="34">
        <v>1195670.4333333336</v>
      </c>
    </row>
    <row r="87" spans="1:28" x14ac:dyDescent="0.25">
      <c r="A87" s="9">
        <v>171</v>
      </c>
      <c r="B87">
        <v>1.2808170000000001</v>
      </c>
      <c r="C87">
        <f t="shared" si="3"/>
        <v>164</v>
      </c>
      <c r="D87">
        <v>1.280243</v>
      </c>
      <c r="E87" s="9">
        <f t="shared" si="4"/>
        <v>161</v>
      </c>
      <c r="F87">
        <v>1.2808580000000001</v>
      </c>
      <c r="G87" s="9">
        <v>171</v>
      </c>
      <c r="H87">
        <v>1.2198059999999999</v>
      </c>
      <c r="I87">
        <v>161</v>
      </c>
      <c r="J87">
        <v>1.213989</v>
      </c>
      <c r="K87">
        <v>161</v>
      </c>
      <c r="L87">
        <v>1.2151590000000001</v>
      </c>
      <c r="M87" s="9">
        <v>171</v>
      </c>
      <c r="N87">
        <v>1.2726379999999999</v>
      </c>
      <c r="O87">
        <v>159</v>
      </c>
      <c r="P87">
        <v>1.2615970000000001</v>
      </c>
      <c r="Q87">
        <v>165</v>
      </c>
      <c r="R87">
        <v>1.265776</v>
      </c>
      <c r="V87" s="10" cm="1">
        <f t="array" ref="V8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86)+1),6),"")</f>
        <v>0.22211600000000001</v>
      </c>
      <c r="W87" s="11">
        <f t="shared" si="5"/>
        <v>3641.5321665719307</v>
      </c>
      <c r="X87" s="15"/>
      <c r="Y87" s="30">
        <v>0.22648399999999999</v>
      </c>
      <c r="Z87" s="31"/>
      <c r="AA87" s="32"/>
      <c r="AB87" s="34">
        <v>1206877.7155555559</v>
      </c>
    </row>
    <row r="88" spans="1:28" x14ac:dyDescent="0.25">
      <c r="A88" s="9">
        <v>170</v>
      </c>
      <c r="B88">
        <v>1.2775190000000001</v>
      </c>
      <c r="C88">
        <f t="shared" si="3"/>
        <v>163</v>
      </c>
      <c r="D88">
        <v>1.2787649999999999</v>
      </c>
      <c r="E88" s="9">
        <f t="shared" si="4"/>
        <v>160</v>
      </c>
      <c r="F88">
        <v>1.2778350000000001</v>
      </c>
      <c r="G88" s="9">
        <v>170</v>
      </c>
      <c r="H88">
        <v>1.217392</v>
      </c>
      <c r="I88">
        <v>160</v>
      </c>
      <c r="J88">
        <v>1.2107950000000001</v>
      </c>
      <c r="K88">
        <v>160</v>
      </c>
      <c r="L88">
        <v>1.212715</v>
      </c>
      <c r="M88" s="9">
        <v>170</v>
      </c>
      <c r="N88">
        <v>1.269846</v>
      </c>
      <c r="O88">
        <v>158</v>
      </c>
      <c r="P88">
        <v>1.25888</v>
      </c>
      <c r="Q88">
        <v>164</v>
      </c>
      <c r="R88">
        <v>1.2631289999999999</v>
      </c>
      <c r="V88" s="10" cm="1">
        <f t="array" ref="V8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87)+1),6),"")</f>
        <v>0.225414</v>
      </c>
      <c r="W88" s="11">
        <f t="shared" si="5"/>
        <v>3695.6019908320209</v>
      </c>
      <c r="X88" s="15"/>
      <c r="Y88" s="30">
        <v>0.22878599999999999</v>
      </c>
      <c r="Z88" s="31"/>
      <c r="AA88" s="32"/>
      <c r="AB88" s="34">
        <v>1218084.9977777782</v>
      </c>
    </row>
    <row r="89" spans="1:28" x14ac:dyDescent="0.25">
      <c r="A89" s="9">
        <v>169</v>
      </c>
      <c r="B89">
        <v>1.275056</v>
      </c>
      <c r="C89">
        <f t="shared" si="3"/>
        <v>162</v>
      </c>
      <c r="D89">
        <v>1.276068</v>
      </c>
      <c r="E89" s="9">
        <f t="shared" si="4"/>
        <v>159</v>
      </c>
      <c r="F89">
        <v>1.271325</v>
      </c>
      <c r="G89" s="9">
        <v>169</v>
      </c>
      <c r="H89">
        <v>1.21471</v>
      </c>
      <c r="I89">
        <v>159</v>
      </c>
      <c r="J89">
        <v>1.2091829999999999</v>
      </c>
      <c r="K89">
        <v>159</v>
      </c>
      <c r="L89">
        <v>1.207916</v>
      </c>
      <c r="M89" s="9">
        <v>169</v>
      </c>
      <c r="N89">
        <v>1.2671539999999999</v>
      </c>
      <c r="O89">
        <v>157</v>
      </c>
      <c r="P89">
        <v>1.25563</v>
      </c>
      <c r="Q89">
        <v>163</v>
      </c>
      <c r="R89">
        <v>1.260062</v>
      </c>
      <c r="V89" s="10" cm="1">
        <f t="array" ref="V8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88)+1),6),"")</f>
        <v>0.227877</v>
      </c>
      <c r="W89" s="11">
        <f t="shared" si="5"/>
        <v>3735.982214347061</v>
      </c>
      <c r="X89" s="15"/>
      <c r="Y89" s="30">
        <v>0.232907</v>
      </c>
      <c r="Z89" s="31">
        <v>35</v>
      </c>
      <c r="AA89" s="32">
        <v>1229292.28</v>
      </c>
      <c r="AB89" s="34">
        <v>1229292.2800000005</v>
      </c>
    </row>
    <row r="90" spans="1:28" x14ac:dyDescent="0.25">
      <c r="A90" s="9">
        <v>168</v>
      </c>
      <c r="B90">
        <v>1.2723800000000001</v>
      </c>
      <c r="C90">
        <f t="shared" si="3"/>
        <v>161</v>
      </c>
      <c r="D90">
        <v>1.2727599999999999</v>
      </c>
      <c r="E90" s="9">
        <f t="shared" si="4"/>
        <v>158</v>
      </c>
      <c r="F90">
        <v>1.2683249999999999</v>
      </c>
      <c r="G90" s="9">
        <v>168</v>
      </c>
      <c r="H90">
        <v>1.2120310000000001</v>
      </c>
      <c r="I90">
        <v>158</v>
      </c>
      <c r="J90">
        <v>1.206277</v>
      </c>
      <c r="K90">
        <v>158</v>
      </c>
      <c r="L90">
        <v>1.2051510000000001</v>
      </c>
      <c r="M90" s="9">
        <v>168</v>
      </c>
      <c r="N90">
        <v>1.264219</v>
      </c>
      <c r="O90">
        <v>156</v>
      </c>
      <c r="P90">
        <v>1.2531019999999999</v>
      </c>
      <c r="Q90">
        <v>162</v>
      </c>
      <c r="R90">
        <v>1.2572620000000001</v>
      </c>
      <c r="V90" s="10" cm="1">
        <f t="array" ref="V9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89)+1),6),"")</f>
        <v>0.23055300000000001</v>
      </c>
      <c r="W90" s="11">
        <f t="shared" si="5"/>
        <v>3779.8545156569467</v>
      </c>
      <c r="X90" s="15"/>
      <c r="Y90" s="30">
        <v>0.235046</v>
      </c>
      <c r="Z90" s="31"/>
      <c r="AA90" s="32"/>
      <c r="AB90" s="34">
        <v>1242578.7100000004</v>
      </c>
    </row>
    <row r="91" spans="1:28" x14ac:dyDescent="0.25">
      <c r="A91" s="9">
        <v>167</v>
      </c>
      <c r="B91">
        <v>1.271107</v>
      </c>
      <c r="C91">
        <f t="shared" si="3"/>
        <v>160</v>
      </c>
      <c r="D91">
        <v>1.269612</v>
      </c>
      <c r="E91" s="9">
        <f t="shared" si="4"/>
        <v>157</v>
      </c>
      <c r="F91">
        <v>1.2662180000000001</v>
      </c>
      <c r="G91" s="9">
        <v>167</v>
      </c>
      <c r="H91">
        <v>1.2095819999999999</v>
      </c>
      <c r="I91">
        <v>157</v>
      </c>
      <c r="J91">
        <v>1.20346</v>
      </c>
      <c r="K91">
        <v>157</v>
      </c>
      <c r="L91">
        <v>1.202547</v>
      </c>
      <c r="M91" s="9">
        <v>167</v>
      </c>
      <c r="N91">
        <v>1.2621290000000001</v>
      </c>
      <c r="O91">
        <v>155</v>
      </c>
      <c r="P91">
        <v>1.2498720000000001</v>
      </c>
      <c r="Q91">
        <v>161</v>
      </c>
      <c r="R91">
        <v>1.2544150000000001</v>
      </c>
      <c r="V91" s="10" cm="1">
        <f t="array" ref="V9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90)+1),6),"")</f>
        <v>0.231826</v>
      </c>
      <c r="W91" s="11">
        <f t="shared" si="5"/>
        <v>3800.7250087688612</v>
      </c>
      <c r="X91" s="15"/>
      <c r="Y91" s="30">
        <v>0.236926</v>
      </c>
      <c r="Z91" s="31"/>
      <c r="AA91" s="32"/>
      <c r="AB91" s="34">
        <v>1255865.1400000004</v>
      </c>
    </row>
    <row r="92" spans="1:28" x14ac:dyDescent="0.25">
      <c r="A92" s="9">
        <v>166</v>
      </c>
      <c r="B92">
        <v>1.2683059999999999</v>
      </c>
      <c r="C92">
        <f t="shared" si="3"/>
        <v>159</v>
      </c>
      <c r="D92">
        <v>1.266</v>
      </c>
      <c r="E92" s="9">
        <f t="shared" si="4"/>
        <v>156</v>
      </c>
      <c r="F92">
        <v>1.2631330000000001</v>
      </c>
      <c r="G92" s="9">
        <v>166</v>
      </c>
      <c r="H92">
        <v>1.2069460000000001</v>
      </c>
      <c r="I92">
        <v>156</v>
      </c>
      <c r="J92">
        <v>1.200539</v>
      </c>
      <c r="K92">
        <v>156</v>
      </c>
      <c r="L92">
        <v>1.200088</v>
      </c>
      <c r="M92" s="9">
        <v>166</v>
      </c>
      <c r="N92">
        <v>1.2594369999999999</v>
      </c>
      <c r="O92">
        <v>154</v>
      </c>
      <c r="P92">
        <v>1.2474019999999999</v>
      </c>
      <c r="Q92">
        <v>160</v>
      </c>
      <c r="R92">
        <v>1.2516529999999999</v>
      </c>
      <c r="V92" s="10" cm="1">
        <f t="array" ref="V9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91)+1),6),"")</f>
        <v>0.234627</v>
      </c>
      <c r="W92" s="11">
        <f t="shared" si="5"/>
        <v>3846.6466515076463</v>
      </c>
      <c r="X92" s="15"/>
      <c r="Y92" s="30">
        <v>0.23916100000000001</v>
      </c>
      <c r="Z92" s="31"/>
      <c r="AA92" s="32"/>
      <c r="AB92" s="34">
        <v>1269151.5700000003</v>
      </c>
    </row>
    <row r="93" spans="1:28" x14ac:dyDescent="0.25">
      <c r="A93" s="9">
        <v>165</v>
      </c>
      <c r="B93">
        <v>1.2657560000000001</v>
      </c>
      <c r="C93">
        <f t="shared" si="3"/>
        <v>158</v>
      </c>
      <c r="D93">
        <v>1.263199</v>
      </c>
      <c r="E93" s="9">
        <f t="shared" si="4"/>
        <v>155</v>
      </c>
      <c r="F93">
        <v>1.261296</v>
      </c>
      <c r="G93" s="9">
        <v>165</v>
      </c>
      <c r="H93">
        <v>1.204394</v>
      </c>
      <c r="I93">
        <v>155</v>
      </c>
      <c r="J93">
        <v>1.197281</v>
      </c>
      <c r="K93">
        <v>155</v>
      </c>
      <c r="L93">
        <v>1.196253</v>
      </c>
      <c r="M93" s="9">
        <v>165</v>
      </c>
      <c r="N93">
        <v>1.256702</v>
      </c>
      <c r="O93">
        <v>153</v>
      </c>
      <c r="P93">
        <v>1.2442089999999999</v>
      </c>
      <c r="Q93">
        <v>159</v>
      </c>
      <c r="R93">
        <v>1.24861</v>
      </c>
      <c r="V93" s="10" cm="1">
        <f t="array" ref="V9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92)+1),6),"")</f>
        <v>0.237177</v>
      </c>
      <c r="W93" s="11">
        <f t="shared" si="5"/>
        <v>3888.4532166572008</v>
      </c>
      <c r="X93" s="15"/>
      <c r="Y93" s="30">
        <v>0.24341299999999999</v>
      </c>
      <c r="Z93" s="31"/>
      <c r="AA93" s="32"/>
      <c r="AB93" s="34">
        <v>1282438.0000000002</v>
      </c>
    </row>
    <row r="94" spans="1:28" x14ac:dyDescent="0.25">
      <c r="A94" s="9">
        <v>164</v>
      </c>
      <c r="B94">
        <v>1.262791</v>
      </c>
      <c r="C94">
        <f t="shared" si="3"/>
        <v>157</v>
      </c>
      <c r="D94">
        <v>1.259593</v>
      </c>
      <c r="E94" s="9">
        <f t="shared" si="4"/>
        <v>154</v>
      </c>
      <c r="F94">
        <v>1.2579800000000001</v>
      </c>
      <c r="G94" s="9">
        <v>164</v>
      </c>
      <c r="H94">
        <v>1.2018420000000001</v>
      </c>
      <c r="I94">
        <v>154</v>
      </c>
      <c r="J94">
        <v>1.19448</v>
      </c>
      <c r="K94">
        <v>154</v>
      </c>
      <c r="L94">
        <v>1.19377</v>
      </c>
      <c r="M94" s="9">
        <v>164</v>
      </c>
      <c r="N94">
        <v>1.2538659999999999</v>
      </c>
      <c r="O94">
        <v>152</v>
      </c>
      <c r="P94">
        <v>1.241385</v>
      </c>
      <c r="Q94">
        <v>158</v>
      </c>
      <c r="R94">
        <v>1.2462029999999999</v>
      </c>
      <c r="V94" s="10" cm="1">
        <f t="array" ref="V9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93)+1),6),"")</f>
        <v>0.24014199999999999</v>
      </c>
      <c r="W94" s="11">
        <f t="shared" si="5"/>
        <v>3937.0635953507021</v>
      </c>
      <c r="X94" s="15"/>
      <c r="Y94" s="30">
        <v>0.24530199999999999</v>
      </c>
      <c r="Z94" s="31"/>
      <c r="AA94" s="32"/>
      <c r="AB94" s="34">
        <v>1295724.4300000002</v>
      </c>
    </row>
    <row r="95" spans="1:28" x14ac:dyDescent="0.25">
      <c r="A95" s="9">
        <v>163</v>
      </c>
      <c r="B95">
        <v>1.2599320000000001</v>
      </c>
      <c r="C95">
        <f t="shared" si="3"/>
        <v>156</v>
      </c>
      <c r="D95">
        <v>1.2568649999999999</v>
      </c>
      <c r="E95" s="9">
        <f t="shared" si="4"/>
        <v>153</v>
      </c>
      <c r="F95">
        <v>1.2559629999999999</v>
      </c>
      <c r="G95" s="9">
        <v>163</v>
      </c>
      <c r="H95">
        <v>1.1980949999999999</v>
      </c>
      <c r="I95">
        <v>153</v>
      </c>
      <c r="J95">
        <v>1.1916960000000001</v>
      </c>
      <c r="K95">
        <v>153</v>
      </c>
      <c r="L95">
        <v>1.1909590000000001</v>
      </c>
      <c r="M95" s="9">
        <v>163</v>
      </c>
      <c r="N95">
        <v>1.2510730000000001</v>
      </c>
      <c r="O95">
        <v>151</v>
      </c>
      <c r="P95">
        <v>1.2389749999999999</v>
      </c>
      <c r="Q95">
        <v>157</v>
      </c>
      <c r="R95">
        <v>1.2430159999999999</v>
      </c>
      <c r="V95" s="10" cm="1">
        <f t="array" ref="V9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94)+1),6),"")</f>
        <v>0.24300099999999999</v>
      </c>
      <c r="W95" s="11">
        <f t="shared" si="5"/>
        <v>3983.9361325124969</v>
      </c>
      <c r="X95" s="15"/>
      <c r="Y95" s="30">
        <v>0.248503</v>
      </c>
      <c r="Z95" s="31"/>
      <c r="AA95" s="32"/>
      <c r="AB95" s="34">
        <v>1309010.8600000001</v>
      </c>
    </row>
    <row r="96" spans="1:28" x14ac:dyDescent="0.25">
      <c r="A96" s="9">
        <v>162</v>
      </c>
      <c r="B96">
        <v>1.2570319999999999</v>
      </c>
      <c r="C96">
        <f t="shared" si="3"/>
        <v>155</v>
      </c>
      <c r="D96">
        <v>1.255592</v>
      </c>
      <c r="E96" s="9">
        <f t="shared" si="4"/>
        <v>152</v>
      </c>
      <c r="F96">
        <v>1.2528589999999999</v>
      </c>
      <c r="G96" s="9">
        <v>162</v>
      </c>
      <c r="H96">
        <v>1.195559</v>
      </c>
      <c r="I96">
        <v>152</v>
      </c>
      <c r="J96">
        <v>1.188866</v>
      </c>
      <c r="K96">
        <v>152</v>
      </c>
      <c r="L96">
        <v>1.188464</v>
      </c>
      <c r="M96" s="9">
        <v>162</v>
      </c>
      <c r="N96">
        <v>1.248459</v>
      </c>
      <c r="O96">
        <v>150</v>
      </c>
      <c r="P96">
        <v>1.236167</v>
      </c>
      <c r="Q96">
        <v>156</v>
      </c>
      <c r="R96">
        <v>1.240869</v>
      </c>
      <c r="V96" s="10" cm="1">
        <f t="array" ref="V9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95)+1),6),"")</f>
        <v>0.24590100000000001</v>
      </c>
      <c r="W96" s="11">
        <f t="shared" si="5"/>
        <v>4031.4808536629707</v>
      </c>
      <c r="X96" s="15"/>
      <c r="Y96" s="30">
        <v>0.25043399999999999</v>
      </c>
      <c r="Z96" s="31"/>
      <c r="AA96" s="32"/>
      <c r="AB96" s="34">
        <v>1322297.29</v>
      </c>
    </row>
    <row r="97" spans="1:28" x14ac:dyDescent="0.25">
      <c r="A97" s="9">
        <v>161</v>
      </c>
      <c r="B97">
        <v>1.254319</v>
      </c>
      <c r="C97">
        <f t="shared" si="3"/>
        <v>154</v>
      </c>
      <c r="D97">
        <v>1.2526809999999999</v>
      </c>
      <c r="E97" s="9">
        <f t="shared" si="4"/>
        <v>151</v>
      </c>
      <c r="F97">
        <v>1.2481450000000001</v>
      </c>
      <c r="G97" s="9">
        <v>161</v>
      </c>
      <c r="H97">
        <v>1.1927490000000001</v>
      </c>
      <c r="I97">
        <v>151</v>
      </c>
      <c r="J97">
        <v>1.1852199999999999</v>
      </c>
      <c r="K97">
        <v>151</v>
      </c>
      <c r="L97">
        <v>1.1846639999999999</v>
      </c>
      <c r="M97" s="9">
        <v>161</v>
      </c>
      <c r="N97">
        <v>1.2457819999999999</v>
      </c>
      <c r="O97">
        <v>149</v>
      </c>
      <c r="P97">
        <v>1.2326360000000001</v>
      </c>
      <c r="Q97">
        <v>155</v>
      </c>
      <c r="R97">
        <v>1.237358</v>
      </c>
      <c r="V97" s="10" cm="1">
        <f t="array" ref="V9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96)+1),6),"")</f>
        <v>0.248614</v>
      </c>
      <c r="W97" s="11">
        <f t="shared" si="5"/>
        <v>4075.9597600358102</v>
      </c>
      <c r="X97" s="15"/>
      <c r="Y97" s="30">
        <v>0.25465700000000002</v>
      </c>
      <c r="Z97" s="31">
        <v>34.5</v>
      </c>
      <c r="AA97" s="32">
        <v>1335583.72</v>
      </c>
      <c r="AB97" s="34">
        <v>1335583.72</v>
      </c>
    </row>
    <row r="98" spans="1:28" x14ac:dyDescent="0.25">
      <c r="A98" s="9">
        <v>160</v>
      </c>
      <c r="B98">
        <v>1.2514559999999999</v>
      </c>
      <c r="C98">
        <f t="shared" si="3"/>
        <v>153</v>
      </c>
      <c r="D98">
        <v>1.2490889999999999</v>
      </c>
      <c r="E98" s="9">
        <f t="shared" si="4"/>
        <v>150</v>
      </c>
      <c r="F98">
        <v>1.2450049999999999</v>
      </c>
      <c r="G98" s="9">
        <v>160</v>
      </c>
      <c r="H98">
        <v>1.1902349999999999</v>
      </c>
      <c r="I98">
        <v>150</v>
      </c>
      <c r="J98">
        <v>1.18205</v>
      </c>
      <c r="K98">
        <v>150</v>
      </c>
      <c r="L98">
        <v>1.1821299999999999</v>
      </c>
      <c r="M98" s="9">
        <v>160</v>
      </c>
      <c r="N98">
        <v>1.2428349999999999</v>
      </c>
      <c r="O98">
        <v>148</v>
      </c>
      <c r="P98">
        <v>1.2302580000000001</v>
      </c>
      <c r="Q98">
        <v>154</v>
      </c>
      <c r="R98">
        <v>1.234769</v>
      </c>
      <c r="V98" s="10" cm="1">
        <f t="array" ref="V9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97)+1),6),"")</f>
        <v>0.25147700000000001</v>
      </c>
      <c r="W98" s="11">
        <f t="shared" si="5"/>
        <v>4122.8978761233293</v>
      </c>
      <c r="X98" s="15"/>
      <c r="Y98" s="30">
        <v>0.25678699999999999</v>
      </c>
      <c r="Z98" s="31"/>
      <c r="AA98" s="32"/>
      <c r="AB98" s="34">
        <v>1346217.4988888889</v>
      </c>
    </row>
    <row r="99" spans="1:28" x14ac:dyDescent="0.25">
      <c r="A99" s="9">
        <v>159</v>
      </c>
      <c r="B99">
        <v>1.2497</v>
      </c>
      <c r="C99">
        <f t="shared" si="3"/>
        <v>152</v>
      </c>
      <c r="D99">
        <v>1.246159</v>
      </c>
      <c r="E99" s="9">
        <f t="shared" si="4"/>
        <v>149</v>
      </c>
      <c r="F99">
        <v>1.2424139999999999</v>
      </c>
      <c r="G99" s="9">
        <v>159</v>
      </c>
      <c r="H99">
        <v>1.1871879999999999</v>
      </c>
      <c r="I99">
        <v>149</v>
      </c>
      <c r="J99">
        <v>1.1794009999999999</v>
      </c>
      <c r="K99">
        <v>149</v>
      </c>
      <c r="L99">
        <v>1.1795800000000001</v>
      </c>
      <c r="M99" s="9">
        <v>159</v>
      </c>
      <c r="N99">
        <v>1.2345660000000001</v>
      </c>
      <c r="O99">
        <v>147</v>
      </c>
      <c r="P99">
        <v>1.2272380000000001</v>
      </c>
      <c r="Q99">
        <v>153</v>
      </c>
      <c r="R99">
        <v>1.2317419999999999</v>
      </c>
      <c r="V99" s="10" cm="1">
        <f t="array" ref="V9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98)+1),6),"")</f>
        <v>0.25323299999999999</v>
      </c>
      <c r="W99" s="11">
        <f t="shared" si="5"/>
        <v>4151.6870245165128</v>
      </c>
      <c r="X99" s="15"/>
      <c r="Y99" s="30">
        <v>0.260268</v>
      </c>
      <c r="Z99" s="31"/>
      <c r="AA99" s="32"/>
      <c r="AB99" s="34">
        <v>1356851.2777777778</v>
      </c>
    </row>
    <row r="100" spans="1:28" x14ac:dyDescent="0.25">
      <c r="A100" s="9">
        <v>158</v>
      </c>
      <c r="B100">
        <v>1.246996</v>
      </c>
      <c r="C100">
        <f t="shared" si="3"/>
        <v>151</v>
      </c>
      <c r="D100">
        <v>1.243487</v>
      </c>
      <c r="E100" s="9">
        <f t="shared" si="4"/>
        <v>148</v>
      </c>
      <c r="F100">
        <v>1.2396959999999999</v>
      </c>
      <c r="G100" s="9">
        <v>158</v>
      </c>
      <c r="H100">
        <v>1.184542</v>
      </c>
      <c r="I100">
        <v>148</v>
      </c>
      <c r="J100">
        <v>1.1763840000000001</v>
      </c>
      <c r="K100">
        <v>148</v>
      </c>
      <c r="L100">
        <v>1.1769179999999999</v>
      </c>
      <c r="M100" s="9">
        <v>158</v>
      </c>
      <c r="N100">
        <v>1.231797</v>
      </c>
      <c r="O100">
        <v>146</v>
      </c>
      <c r="P100">
        <v>1.224553</v>
      </c>
      <c r="Q100">
        <v>152</v>
      </c>
      <c r="R100">
        <v>1.2290380000000001</v>
      </c>
      <c r="V100" s="10" cm="1">
        <f t="array" ref="V10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99)+1),6),"")</f>
        <v>0.25593700000000003</v>
      </c>
      <c r="W100" s="11">
        <f t="shared" si="5"/>
        <v>4196.0183783064722</v>
      </c>
      <c r="X100" s="15"/>
      <c r="Y100" s="30">
        <v>0.26230900000000001</v>
      </c>
      <c r="Z100" s="31"/>
      <c r="AA100" s="32"/>
      <c r="AB100" s="34">
        <v>1367485.0566666666</v>
      </c>
    </row>
    <row r="101" spans="1:28" x14ac:dyDescent="0.25">
      <c r="A101" s="9">
        <v>157</v>
      </c>
      <c r="B101">
        <v>1.244688</v>
      </c>
      <c r="C101">
        <f t="shared" si="3"/>
        <v>150</v>
      </c>
      <c r="D101">
        <v>1.240621</v>
      </c>
      <c r="E101" s="9">
        <f t="shared" si="4"/>
        <v>147</v>
      </c>
      <c r="F101">
        <v>1.237841</v>
      </c>
      <c r="G101" s="9">
        <v>157</v>
      </c>
      <c r="H101">
        <v>1.181813</v>
      </c>
      <c r="I101">
        <v>147</v>
      </c>
      <c r="J101">
        <v>1.173297</v>
      </c>
      <c r="K101">
        <v>147</v>
      </c>
      <c r="L101">
        <v>1.1732279999999999</v>
      </c>
      <c r="M101" s="9">
        <v>157</v>
      </c>
      <c r="N101">
        <v>1.228993</v>
      </c>
      <c r="O101">
        <v>145</v>
      </c>
      <c r="P101">
        <v>1.2215849999999999</v>
      </c>
      <c r="Q101">
        <v>151</v>
      </c>
      <c r="R101">
        <v>1.2266589999999999</v>
      </c>
      <c r="V101" s="10" cm="1">
        <f t="array" ref="V10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100)+1),6),"")</f>
        <v>0.258245</v>
      </c>
      <c r="W101" s="11">
        <f t="shared" si="5"/>
        <v>4233.8574184496765</v>
      </c>
      <c r="X101" s="15"/>
      <c r="Y101" s="30">
        <v>0.26656200000000002</v>
      </c>
      <c r="Z101" s="31"/>
      <c r="AA101" s="32"/>
      <c r="AB101" s="34">
        <v>1378118.8355555555</v>
      </c>
    </row>
    <row r="102" spans="1:28" x14ac:dyDescent="0.25">
      <c r="A102" s="9">
        <v>156</v>
      </c>
      <c r="B102">
        <v>1.2415480000000001</v>
      </c>
      <c r="C102">
        <f t="shared" si="3"/>
        <v>149</v>
      </c>
      <c r="D102">
        <v>1.2373320000000001</v>
      </c>
      <c r="E102" s="9">
        <f t="shared" si="4"/>
        <v>146</v>
      </c>
      <c r="F102">
        <v>1.2348140000000001</v>
      </c>
      <c r="G102" s="9">
        <v>156</v>
      </c>
      <c r="H102">
        <v>1.1791419999999999</v>
      </c>
      <c r="I102">
        <v>146</v>
      </c>
      <c r="J102">
        <v>1.170282</v>
      </c>
      <c r="K102">
        <v>146</v>
      </c>
      <c r="L102">
        <v>1.170563</v>
      </c>
      <c r="M102" s="9">
        <v>156</v>
      </c>
      <c r="N102">
        <v>1.2262139999999999</v>
      </c>
      <c r="O102">
        <v>144</v>
      </c>
      <c r="P102">
        <v>1.2185239999999999</v>
      </c>
      <c r="Q102">
        <v>150</v>
      </c>
      <c r="R102">
        <v>1.224011</v>
      </c>
      <c r="V102" s="10" cm="1">
        <f t="array" ref="V10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101)+1),6),"")</f>
        <v>0.26138499999999998</v>
      </c>
      <c r="W102" s="11">
        <f t="shared" si="5"/>
        <v>4285.3368751436365</v>
      </c>
      <c r="X102" s="15"/>
      <c r="Y102" s="30">
        <v>0.26839099999999999</v>
      </c>
      <c r="Z102" s="31"/>
      <c r="AA102" s="32"/>
      <c r="AB102" s="34">
        <v>1388752.6144444444</v>
      </c>
    </row>
    <row r="103" spans="1:28" x14ac:dyDescent="0.25">
      <c r="A103" s="9">
        <v>155</v>
      </c>
      <c r="B103">
        <v>1.2385429999999999</v>
      </c>
      <c r="C103">
        <f t="shared" si="3"/>
        <v>148</v>
      </c>
      <c r="D103">
        <v>1.2341880000000001</v>
      </c>
      <c r="E103" s="9">
        <f t="shared" si="4"/>
        <v>145</v>
      </c>
      <c r="F103">
        <v>1.232445</v>
      </c>
      <c r="G103" s="9">
        <v>155</v>
      </c>
      <c r="H103">
        <v>1.175816</v>
      </c>
      <c r="I103">
        <v>145</v>
      </c>
      <c r="J103">
        <v>1.1672959999999999</v>
      </c>
      <c r="K103">
        <v>145</v>
      </c>
      <c r="L103">
        <v>1.167969</v>
      </c>
      <c r="M103" s="9">
        <v>155</v>
      </c>
      <c r="N103">
        <v>1.223236</v>
      </c>
      <c r="O103">
        <v>143</v>
      </c>
      <c r="P103">
        <v>1.2175879999999999</v>
      </c>
      <c r="Q103">
        <v>149</v>
      </c>
      <c r="R103">
        <v>1.2210030000000001</v>
      </c>
      <c r="V103" s="10" cm="1">
        <f t="array" ref="V10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102)+1),6),"")</f>
        <v>0.26439000000000001</v>
      </c>
      <c r="W103" s="11">
        <f t="shared" si="5"/>
        <v>4334.6030430943865</v>
      </c>
      <c r="X103" s="15"/>
      <c r="Y103" s="30">
        <v>0.27140199999999998</v>
      </c>
      <c r="Z103" s="31"/>
      <c r="AA103" s="32"/>
      <c r="AB103" s="34">
        <v>1399386.3933333333</v>
      </c>
    </row>
    <row r="104" spans="1:28" x14ac:dyDescent="0.25">
      <c r="A104" s="9">
        <v>154</v>
      </c>
      <c r="B104">
        <v>1.235476</v>
      </c>
      <c r="C104">
        <f t="shared" si="3"/>
        <v>147</v>
      </c>
      <c r="D104">
        <v>1.232931</v>
      </c>
      <c r="E104" s="9">
        <f t="shared" si="4"/>
        <v>144</v>
      </c>
      <c r="F104">
        <v>1.2290140000000001</v>
      </c>
      <c r="G104" s="9">
        <v>154</v>
      </c>
      <c r="H104">
        <v>1.173136</v>
      </c>
      <c r="I104">
        <v>144</v>
      </c>
      <c r="J104">
        <v>1.164671</v>
      </c>
      <c r="K104">
        <v>144</v>
      </c>
      <c r="L104">
        <v>1.1653230000000001</v>
      </c>
      <c r="M104" s="9">
        <v>154</v>
      </c>
      <c r="N104">
        <v>1.2207520000000001</v>
      </c>
      <c r="O104">
        <v>142</v>
      </c>
      <c r="P104">
        <v>1.2149049999999999</v>
      </c>
      <c r="Q104">
        <v>148</v>
      </c>
      <c r="R104">
        <v>1.218496</v>
      </c>
      <c r="V104" s="10" cm="1">
        <f t="array" ref="V10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103)+1),6),"")</f>
        <v>0.267457</v>
      </c>
      <c r="W104" s="11">
        <f t="shared" si="5"/>
        <v>4384.8856843938702</v>
      </c>
      <c r="X104" s="15"/>
      <c r="Y104" s="30">
        <v>0.27366699999999999</v>
      </c>
      <c r="Z104" s="31"/>
      <c r="AA104" s="32"/>
      <c r="AB104" s="34">
        <v>1410020.1722222222</v>
      </c>
    </row>
    <row r="105" spans="1:28" x14ac:dyDescent="0.25">
      <c r="A105" s="9">
        <v>153</v>
      </c>
      <c r="B105">
        <v>1.233025</v>
      </c>
      <c r="C105">
        <f t="shared" si="3"/>
        <v>146</v>
      </c>
      <c r="D105">
        <v>1.2299549999999999</v>
      </c>
      <c r="E105" s="9">
        <f t="shared" si="4"/>
        <v>143</v>
      </c>
      <c r="F105">
        <v>1.227006</v>
      </c>
      <c r="G105" s="9">
        <v>153</v>
      </c>
      <c r="H105">
        <v>1.1704509999999999</v>
      </c>
      <c r="I105">
        <v>143</v>
      </c>
      <c r="J105">
        <v>1.165656</v>
      </c>
      <c r="K105">
        <v>143</v>
      </c>
      <c r="L105">
        <v>1.1644220000000001</v>
      </c>
      <c r="M105" s="9">
        <v>153</v>
      </c>
      <c r="N105">
        <v>1.218054</v>
      </c>
      <c r="O105">
        <v>141</v>
      </c>
      <c r="P105">
        <v>1.2116020000000001</v>
      </c>
      <c r="Q105">
        <v>147</v>
      </c>
      <c r="R105">
        <v>1.2149810000000001</v>
      </c>
      <c r="V105" s="10" cm="1">
        <f t="array" ref="V10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104)+1),6),"")</f>
        <v>0.26990799999999998</v>
      </c>
      <c r="W105" s="11">
        <f t="shared" si="5"/>
        <v>4425.0691711317359</v>
      </c>
      <c r="X105" s="15"/>
      <c r="Y105" s="30">
        <v>0.27801500000000001</v>
      </c>
      <c r="Z105" s="31"/>
      <c r="AA105" s="32"/>
      <c r="AB105" s="34">
        <v>1420653.9511111111</v>
      </c>
    </row>
    <row r="106" spans="1:28" x14ac:dyDescent="0.25">
      <c r="A106" s="9">
        <v>152</v>
      </c>
      <c r="B106">
        <v>1.230054</v>
      </c>
      <c r="C106">
        <f t="shared" si="3"/>
        <v>145</v>
      </c>
      <c r="D106">
        <v>1.2265710000000001</v>
      </c>
      <c r="E106" s="9">
        <f t="shared" si="4"/>
        <v>142</v>
      </c>
      <c r="F106">
        <v>1.2236480000000001</v>
      </c>
      <c r="G106" s="9">
        <v>152</v>
      </c>
      <c r="H106">
        <v>1.1677649999999999</v>
      </c>
      <c r="I106">
        <v>142</v>
      </c>
      <c r="J106">
        <v>1.1624939999999999</v>
      </c>
      <c r="K106">
        <v>142</v>
      </c>
      <c r="L106">
        <v>1.1620539999999999</v>
      </c>
      <c r="M106" s="9">
        <v>152</v>
      </c>
      <c r="N106">
        <v>1.215166</v>
      </c>
      <c r="O106">
        <v>140</v>
      </c>
      <c r="P106">
        <v>1.2088719999999999</v>
      </c>
      <c r="Q106">
        <v>146</v>
      </c>
      <c r="R106">
        <v>1.2125790000000001</v>
      </c>
      <c r="V106" s="10" cm="1">
        <f t="array" ref="V10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105)+1),6),"")</f>
        <v>0.27287899999999998</v>
      </c>
      <c r="W106" s="11">
        <f t="shared" si="5"/>
        <v>4473.7779182138247</v>
      </c>
      <c r="X106" s="15"/>
      <c r="Y106" s="30">
        <v>0.28020699999999998</v>
      </c>
      <c r="Z106" s="31">
        <v>34</v>
      </c>
      <c r="AA106" s="32">
        <v>1431287.73</v>
      </c>
      <c r="AB106" s="34">
        <v>1431287.73</v>
      </c>
    </row>
    <row r="107" spans="1:28" x14ac:dyDescent="0.25">
      <c r="A107" s="9">
        <v>151</v>
      </c>
      <c r="B107">
        <v>1.228885</v>
      </c>
      <c r="C107">
        <f t="shared" si="3"/>
        <v>144</v>
      </c>
      <c r="D107">
        <v>1.2236899999999999</v>
      </c>
      <c r="E107" s="9">
        <f t="shared" si="4"/>
        <v>141</v>
      </c>
      <c r="F107">
        <v>1.221271</v>
      </c>
      <c r="G107" s="9">
        <v>151</v>
      </c>
      <c r="H107">
        <v>1.1653020000000001</v>
      </c>
      <c r="I107">
        <v>141</v>
      </c>
      <c r="J107">
        <v>1.159772</v>
      </c>
      <c r="K107">
        <v>141</v>
      </c>
      <c r="L107">
        <v>1.159313</v>
      </c>
      <c r="M107" s="9">
        <v>151</v>
      </c>
      <c r="N107">
        <v>1.212782</v>
      </c>
      <c r="O107">
        <v>139</v>
      </c>
      <c r="P107">
        <v>1.2058390000000001</v>
      </c>
      <c r="Q107">
        <v>145</v>
      </c>
      <c r="R107">
        <v>1.2095229999999999</v>
      </c>
      <c r="V107" s="10" cm="1">
        <f t="array" ref="V10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106)+1),6),"")</f>
        <v>0.27404800000000001</v>
      </c>
      <c r="W107" s="11">
        <f t="shared" si="5"/>
        <v>4492.9433592568948</v>
      </c>
      <c r="X107" s="15"/>
      <c r="Y107" s="30">
        <v>0.28197299999999997</v>
      </c>
      <c r="Z107" s="31"/>
      <c r="AA107" s="32"/>
      <c r="AB107" s="34">
        <v>1443439.99125</v>
      </c>
    </row>
    <row r="108" spans="1:28" x14ac:dyDescent="0.25">
      <c r="A108" s="9">
        <v>150</v>
      </c>
      <c r="B108">
        <v>1.226059</v>
      </c>
      <c r="C108">
        <f t="shared" si="3"/>
        <v>143</v>
      </c>
      <c r="D108">
        <v>1.222186</v>
      </c>
      <c r="E108" s="9">
        <f t="shared" si="4"/>
        <v>140</v>
      </c>
      <c r="F108">
        <v>1.218337</v>
      </c>
      <c r="G108" s="9">
        <v>150</v>
      </c>
      <c r="H108">
        <v>1.162717</v>
      </c>
      <c r="I108">
        <v>140</v>
      </c>
      <c r="J108">
        <v>1.1565700000000001</v>
      </c>
      <c r="K108">
        <v>140</v>
      </c>
      <c r="L108">
        <v>1.156865</v>
      </c>
      <c r="M108" s="9">
        <v>150</v>
      </c>
      <c r="N108">
        <v>1.2100839999999999</v>
      </c>
      <c r="O108">
        <v>138</v>
      </c>
      <c r="P108">
        <v>1.2031099999999999</v>
      </c>
      <c r="Q108">
        <v>144</v>
      </c>
      <c r="R108">
        <v>1.2072160000000001</v>
      </c>
      <c r="V108" s="10" cm="1">
        <f t="array" ref="V10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107)+1),6),"")</f>
        <v>0.27687400000000001</v>
      </c>
      <c r="W108" s="11">
        <f t="shared" si="5"/>
        <v>4539.2748702814597</v>
      </c>
      <c r="X108" s="15"/>
      <c r="Y108" s="30">
        <v>0.28421099999999999</v>
      </c>
      <c r="Z108" s="31"/>
      <c r="AA108" s="32"/>
      <c r="AB108" s="34">
        <v>1455592.2524999999</v>
      </c>
    </row>
    <row r="109" spans="1:28" x14ac:dyDescent="0.25">
      <c r="A109" s="9">
        <v>149</v>
      </c>
      <c r="B109">
        <v>1.223598</v>
      </c>
      <c r="C109">
        <f t="shared" si="3"/>
        <v>142</v>
      </c>
      <c r="D109">
        <v>1.2191110000000001</v>
      </c>
      <c r="E109" s="9">
        <f t="shared" si="4"/>
        <v>139</v>
      </c>
      <c r="F109">
        <v>1.2164600000000001</v>
      </c>
      <c r="G109" s="9">
        <v>149</v>
      </c>
      <c r="H109">
        <v>1.1599699999999999</v>
      </c>
      <c r="I109">
        <v>139</v>
      </c>
      <c r="J109">
        <v>1.1536850000000001</v>
      </c>
      <c r="K109">
        <v>139</v>
      </c>
      <c r="L109">
        <v>1.1529929999999999</v>
      </c>
      <c r="M109" s="9">
        <v>149</v>
      </c>
      <c r="N109">
        <v>1.207519</v>
      </c>
      <c r="O109">
        <v>137</v>
      </c>
      <c r="P109">
        <v>1.199954</v>
      </c>
      <c r="Q109">
        <v>143</v>
      </c>
      <c r="R109">
        <v>1.2044509999999999</v>
      </c>
      <c r="V109" s="10" cm="1">
        <f t="array" ref="V10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108)+1),6),"")</f>
        <v>0.279335</v>
      </c>
      <c r="W109" s="11">
        <f t="shared" si="5"/>
        <v>4579.6223043336377</v>
      </c>
      <c r="X109" s="15"/>
      <c r="Y109" s="30">
        <v>0.28848299999999999</v>
      </c>
      <c r="Z109" s="31"/>
      <c r="AA109" s="32"/>
      <c r="AB109" s="34">
        <v>1467744.5137499999</v>
      </c>
    </row>
    <row r="110" spans="1:28" x14ac:dyDescent="0.25">
      <c r="A110" s="9">
        <v>148</v>
      </c>
      <c r="B110">
        <v>1.220526</v>
      </c>
      <c r="C110">
        <f t="shared" si="3"/>
        <v>141</v>
      </c>
      <c r="D110">
        <v>1.216224</v>
      </c>
      <c r="E110" s="9">
        <f t="shared" si="4"/>
        <v>138</v>
      </c>
      <c r="F110">
        <v>1.213651</v>
      </c>
      <c r="G110" s="9">
        <v>148</v>
      </c>
      <c r="H110">
        <v>1.157162</v>
      </c>
      <c r="I110">
        <v>138</v>
      </c>
      <c r="J110">
        <v>1.150766</v>
      </c>
      <c r="K110">
        <v>138</v>
      </c>
      <c r="L110">
        <v>1.150312</v>
      </c>
      <c r="M110" s="9">
        <v>148</v>
      </c>
      <c r="N110">
        <v>1.2046429999999999</v>
      </c>
      <c r="O110">
        <v>136</v>
      </c>
      <c r="P110">
        <v>1.19733</v>
      </c>
      <c r="Q110">
        <v>142</v>
      </c>
      <c r="R110">
        <v>1.2018</v>
      </c>
      <c r="V110" s="10" cm="1">
        <f t="array" ref="V11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109)+1),6),"")</f>
        <v>0.28240700000000002</v>
      </c>
      <c r="W110" s="11">
        <f t="shared" si="5"/>
        <v>4629.9869192902779</v>
      </c>
      <c r="X110" s="15"/>
      <c r="Y110" s="30">
        <v>0.29056199999999999</v>
      </c>
      <c r="Z110" s="31"/>
      <c r="AA110" s="32"/>
      <c r="AB110" s="34">
        <v>1479896.7749999999</v>
      </c>
    </row>
    <row r="111" spans="1:28" x14ac:dyDescent="0.25">
      <c r="A111" s="9">
        <v>147</v>
      </c>
      <c r="B111">
        <v>1.217565</v>
      </c>
      <c r="C111">
        <f t="shared" si="3"/>
        <v>140</v>
      </c>
      <c r="D111">
        <v>1.2129760000000001</v>
      </c>
      <c r="E111" s="9">
        <f t="shared" si="4"/>
        <v>137</v>
      </c>
      <c r="F111">
        <v>1.2112959999999999</v>
      </c>
      <c r="G111" s="9">
        <v>147</v>
      </c>
      <c r="H111">
        <v>1.1539360000000001</v>
      </c>
      <c r="I111">
        <v>137</v>
      </c>
      <c r="J111">
        <v>1.1480509999999999</v>
      </c>
      <c r="K111">
        <v>137</v>
      </c>
      <c r="L111">
        <v>1.147778</v>
      </c>
      <c r="M111" s="9">
        <v>147</v>
      </c>
      <c r="N111">
        <v>1.2017279999999999</v>
      </c>
      <c r="O111">
        <v>135</v>
      </c>
      <c r="P111">
        <v>1.194698</v>
      </c>
      <c r="Q111">
        <v>141</v>
      </c>
      <c r="R111">
        <v>1.198612</v>
      </c>
      <c r="V111" s="10" cm="1">
        <f t="array" ref="V11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110)+1),6),"")</f>
        <v>0.28536800000000001</v>
      </c>
      <c r="W111" s="11">
        <f t="shared" si="5"/>
        <v>4678.5317190580545</v>
      </c>
      <c r="X111" s="15"/>
      <c r="Y111" s="30">
        <v>0.29357</v>
      </c>
      <c r="Z111" s="31"/>
      <c r="AA111" s="32"/>
      <c r="AB111" s="34">
        <v>1492049.0362499999</v>
      </c>
    </row>
    <row r="112" spans="1:28" x14ac:dyDescent="0.25">
      <c r="A112" s="9">
        <v>146</v>
      </c>
      <c r="B112">
        <v>1.214583</v>
      </c>
      <c r="C112">
        <f t="shared" si="3"/>
        <v>139</v>
      </c>
      <c r="D112">
        <v>1.2117329999999999</v>
      </c>
      <c r="E112" s="9">
        <f t="shared" si="4"/>
        <v>136</v>
      </c>
      <c r="F112">
        <v>1.2082919999999999</v>
      </c>
      <c r="G112" s="9">
        <v>146</v>
      </c>
      <c r="H112">
        <v>1.150933</v>
      </c>
      <c r="I112">
        <v>136</v>
      </c>
      <c r="J112">
        <v>1.144936</v>
      </c>
      <c r="K112">
        <v>136</v>
      </c>
      <c r="L112">
        <v>1.145364</v>
      </c>
      <c r="M112" s="9">
        <v>146</v>
      </c>
      <c r="N112">
        <v>1.1990590000000001</v>
      </c>
      <c r="O112">
        <v>134</v>
      </c>
      <c r="P112">
        <v>1.191988</v>
      </c>
      <c r="Q112">
        <v>140</v>
      </c>
      <c r="R112">
        <v>1.1960090000000001</v>
      </c>
      <c r="V112" s="10" cm="1">
        <f t="array" ref="V11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111)+1),6),"")</f>
        <v>0.28835</v>
      </c>
      <c r="W112" s="11">
        <f t="shared" si="5"/>
        <v>4727.420808185886</v>
      </c>
      <c r="X112" s="15"/>
      <c r="Y112" s="30">
        <v>0.29558899999999999</v>
      </c>
      <c r="Z112" s="31"/>
      <c r="AA112" s="32"/>
      <c r="AB112" s="34">
        <v>1504201.2974999999</v>
      </c>
    </row>
    <row r="113" spans="1:28" x14ac:dyDescent="0.25">
      <c r="A113" s="9">
        <v>145</v>
      </c>
      <c r="B113">
        <v>1.2118150000000001</v>
      </c>
      <c r="C113">
        <f t="shared" si="3"/>
        <v>138</v>
      </c>
      <c r="D113">
        <v>1.208812</v>
      </c>
      <c r="E113" s="9">
        <f t="shared" si="4"/>
        <v>135</v>
      </c>
      <c r="F113">
        <v>1.203306</v>
      </c>
      <c r="G113" s="9">
        <v>145</v>
      </c>
      <c r="H113">
        <v>1.1485879999999999</v>
      </c>
      <c r="I113">
        <v>135</v>
      </c>
      <c r="J113">
        <v>1.1409130000000001</v>
      </c>
      <c r="K113">
        <v>135</v>
      </c>
      <c r="L113">
        <v>1.141391</v>
      </c>
      <c r="M113" s="9">
        <v>145</v>
      </c>
      <c r="N113">
        <v>1.1964490000000001</v>
      </c>
      <c r="O113">
        <v>133</v>
      </c>
      <c r="P113">
        <v>1.188542</v>
      </c>
      <c r="Q113">
        <v>139</v>
      </c>
      <c r="R113">
        <v>1.1925939999999999</v>
      </c>
      <c r="V113" s="10" cm="1">
        <f t="array" ref="V11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112)+1),6),"")</f>
        <v>0.29111799999999999</v>
      </c>
      <c r="W113" s="11">
        <f t="shared" si="5"/>
        <v>4772.8014247874407</v>
      </c>
      <c r="X113" s="15"/>
      <c r="Y113" s="30">
        <v>0.29980400000000001</v>
      </c>
      <c r="Z113" s="31"/>
      <c r="AA113" s="32"/>
      <c r="AB113" s="34">
        <v>1516353.5587499999</v>
      </c>
    </row>
    <row r="114" spans="1:28" x14ac:dyDescent="0.25">
      <c r="A114" s="9">
        <v>144</v>
      </c>
      <c r="B114">
        <v>1.209044</v>
      </c>
      <c r="C114">
        <f t="shared" si="3"/>
        <v>137</v>
      </c>
      <c r="D114">
        <v>1.2052449999999999</v>
      </c>
      <c r="E114" s="9">
        <f t="shared" si="4"/>
        <v>134</v>
      </c>
      <c r="F114">
        <v>1.2000679999999999</v>
      </c>
      <c r="G114" s="9">
        <v>144</v>
      </c>
      <c r="H114">
        <v>1.145904</v>
      </c>
      <c r="I114">
        <v>134</v>
      </c>
      <c r="J114">
        <v>1.138112</v>
      </c>
      <c r="K114">
        <v>134</v>
      </c>
      <c r="L114">
        <v>1.138736</v>
      </c>
      <c r="M114" s="9">
        <v>144</v>
      </c>
      <c r="N114">
        <v>1.193338</v>
      </c>
      <c r="O114">
        <v>132</v>
      </c>
      <c r="P114">
        <v>1.1859710000000001</v>
      </c>
      <c r="Q114">
        <v>138</v>
      </c>
      <c r="R114">
        <v>1.190175</v>
      </c>
      <c r="V114" s="10" cm="1">
        <f t="array" ref="V11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113)+1),6),"")</f>
        <v>0.29388900000000001</v>
      </c>
      <c r="W114" s="11">
        <f t="shared" si="5"/>
        <v>4818.2312255832903</v>
      </c>
      <c r="X114" s="15"/>
      <c r="Y114" s="30">
        <v>0.30188900000000002</v>
      </c>
      <c r="Z114" s="31">
        <v>33.5</v>
      </c>
      <c r="AA114" s="32">
        <v>1528505.82</v>
      </c>
      <c r="AB114" s="34">
        <v>1528505.8199999998</v>
      </c>
    </row>
    <row r="115" spans="1:28" x14ac:dyDescent="0.25">
      <c r="A115" s="9">
        <v>143</v>
      </c>
      <c r="B115">
        <v>1.204885</v>
      </c>
      <c r="C115">
        <f t="shared" si="3"/>
        <v>136</v>
      </c>
      <c r="D115">
        <v>1.2025110000000001</v>
      </c>
      <c r="E115" s="9">
        <f t="shared" si="4"/>
        <v>133</v>
      </c>
      <c r="F115">
        <v>1.1979310000000001</v>
      </c>
      <c r="G115" s="9">
        <v>143</v>
      </c>
      <c r="H115">
        <v>1.1439319999999999</v>
      </c>
      <c r="I115">
        <v>133</v>
      </c>
      <c r="J115">
        <v>1.1352690000000001</v>
      </c>
      <c r="K115">
        <v>133</v>
      </c>
      <c r="L115">
        <v>1.1358490000000001</v>
      </c>
      <c r="M115" s="9">
        <v>143</v>
      </c>
      <c r="N115">
        <v>1.1929559999999999</v>
      </c>
      <c r="O115">
        <v>131</v>
      </c>
      <c r="P115">
        <v>1.1828689999999999</v>
      </c>
      <c r="Q115">
        <v>137</v>
      </c>
      <c r="R115">
        <v>1.186844</v>
      </c>
      <c r="V115" s="10" cm="1">
        <f t="array" ref="V11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114)+1),6),"")</f>
        <v>0.29804799999999998</v>
      </c>
      <c r="W115" s="11">
        <f t="shared" si="5"/>
        <v>4886.4169136056416</v>
      </c>
      <c r="X115" s="15"/>
      <c r="Y115" s="30">
        <v>0.30759900000000001</v>
      </c>
      <c r="Z115" s="31"/>
      <c r="AA115" s="32"/>
      <c r="AB115" s="34">
        <v>1538660.6355555553</v>
      </c>
    </row>
    <row r="116" spans="1:28" x14ac:dyDescent="0.25">
      <c r="A116" s="9">
        <v>142</v>
      </c>
      <c r="B116">
        <v>1.2022489999999999</v>
      </c>
      <c r="C116">
        <f t="shared" si="3"/>
        <v>135</v>
      </c>
      <c r="D116">
        <v>1.199913</v>
      </c>
      <c r="E116" s="9">
        <f t="shared" si="4"/>
        <v>132</v>
      </c>
      <c r="F116">
        <v>1.1948319999999999</v>
      </c>
      <c r="G116" s="9">
        <v>142</v>
      </c>
      <c r="H116">
        <v>1.1411469999999999</v>
      </c>
      <c r="I116">
        <v>132</v>
      </c>
      <c r="J116">
        <v>1.1324240000000001</v>
      </c>
      <c r="K116">
        <v>132</v>
      </c>
      <c r="L116">
        <v>1.133486</v>
      </c>
      <c r="M116" s="9">
        <v>142</v>
      </c>
      <c r="N116">
        <v>1.1900809999999999</v>
      </c>
      <c r="O116">
        <v>130</v>
      </c>
      <c r="P116">
        <v>1.180123</v>
      </c>
      <c r="Q116">
        <v>136</v>
      </c>
      <c r="R116">
        <v>1.1844110000000001</v>
      </c>
      <c r="V116" s="10" cm="1">
        <f t="array" ref="V11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115)+1),6),"")</f>
        <v>0.30068400000000001</v>
      </c>
      <c r="W116" s="11">
        <f t="shared" si="5"/>
        <v>4929.6334256582795</v>
      </c>
      <c r="X116" s="15"/>
      <c r="Y116" s="30">
        <v>0.30964000000000003</v>
      </c>
      <c r="Z116" s="31"/>
      <c r="AA116" s="32"/>
      <c r="AB116" s="34">
        <v>1548815.4511111109</v>
      </c>
    </row>
    <row r="117" spans="1:28" x14ac:dyDescent="0.25">
      <c r="A117" s="9">
        <v>141</v>
      </c>
      <c r="B117">
        <v>1.19967</v>
      </c>
      <c r="C117">
        <f t="shared" si="3"/>
        <v>134</v>
      </c>
      <c r="D117">
        <v>1.196728</v>
      </c>
      <c r="E117" s="9">
        <f t="shared" si="4"/>
        <v>131</v>
      </c>
      <c r="F117">
        <v>1.1930750000000001</v>
      </c>
      <c r="G117" s="9">
        <v>141</v>
      </c>
      <c r="H117">
        <v>1.138266</v>
      </c>
      <c r="I117">
        <v>131</v>
      </c>
      <c r="J117">
        <v>1.129089</v>
      </c>
      <c r="K117">
        <v>131</v>
      </c>
      <c r="L117">
        <v>1.1295230000000001</v>
      </c>
      <c r="M117" s="9">
        <v>141</v>
      </c>
      <c r="N117">
        <v>1.1873149999999999</v>
      </c>
      <c r="O117">
        <v>129</v>
      </c>
      <c r="P117">
        <v>1.17703</v>
      </c>
      <c r="Q117">
        <v>135</v>
      </c>
      <c r="R117">
        <v>1.1818</v>
      </c>
      <c r="V117" s="10" cm="1">
        <f t="array" ref="V11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116)+1),6),"")</f>
        <v>0.303263</v>
      </c>
      <c r="W117" s="11">
        <f t="shared" si="5"/>
        <v>4971.9154380193386</v>
      </c>
      <c r="X117" s="15"/>
      <c r="Y117" s="30">
        <v>0.314106</v>
      </c>
      <c r="Z117" s="31"/>
      <c r="AA117" s="32"/>
      <c r="AB117" s="34">
        <v>1558970.2666666664</v>
      </c>
    </row>
    <row r="118" spans="1:28" x14ac:dyDescent="0.25">
      <c r="A118" s="9">
        <v>140</v>
      </c>
      <c r="B118">
        <v>1.196717</v>
      </c>
      <c r="C118">
        <f t="shared" si="3"/>
        <v>133</v>
      </c>
      <c r="D118">
        <v>1.193411</v>
      </c>
      <c r="E118" s="9">
        <f t="shared" si="4"/>
        <v>130</v>
      </c>
      <c r="F118">
        <v>1.1899409999999999</v>
      </c>
      <c r="G118" s="9">
        <v>140</v>
      </c>
      <c r="H118">
        <v>1.135748</v>
      </c>
      <c r="I118">
        <v>130</v>
      </c>
      <c r="J118">
        <v>1.1260840000000001</v>
      </c>
      <c r="K118">
        <v>130</v>
      </c>
      <c r="L118">
        <v>1.12707</v>
      </c>
      <c r="M118" s="9">
        <v>140</v>
      </c>
      <c r="N118">
        <v>1.184574</v>
      </c>
      <c r="O118">
        <v>128</v>
      </c>
      <c r="P118">
        <v>1.1740900000000001</v>
      </c>
      <c r="Q118">
        <v>134</v>
      </c>
      <c r="R118">
        <v>1.179413</v>
      </c>
      <c r="V118" s="10" cm="1">
        <f t="array" ref="V11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117)+1),6),"")</f>
        <v>0.30621599999999999</v>
      </c>
      <c r="W118" s="11">
        <f t="shared" si="5"/>
        <v>5020.3290799356655</v>
      </c>
      <c r="X118" s="15"/>
      <c r="Y118" s="30">
        <v>0.31617499999999998</v>
      </c>
      <c r="Z118" s="31"/>
      <c r="AA118" s="32"/>
      <c r="AB118" s="34">
        <v>1569125.0822222219</v>
      </c>
    </row>
    <row r="119" spans="1:28" x14ac:dyDescent="0.25">
      <c r="A119" s="9">
        <v>139</v>
      </c>
      <c r="B119">
        <v>1.193716</v>
      </c>
      <c r="C119">
        <f t="shared" si="3"/>
        <v>132</v>
      </c>
      <c r="D119">
        <v>1.190142</v>
      </c>
      <c r="E119" s="9">
        <f t="shared" si="4"/>
        <v>129</v>
      </c>
      <c r="F119">
        <v>1.18763</v>
      </c>
      <c r="G119" s="9">
        <v>139</v>
      </c>
      <c r="H119">
        <v>1.132293</v>
      </c>
      <c r="I119">
        <v>129</v>
      </c>
      <c r="J119">
        <v>1.1234459999999999</v>
      </c>
      <c r="K119">
        <v>129</v>
      </c>
      <c r="L119">
        <v>1.124288</v>
      </c>
      <c r="M119" s="9">
        <v>139</v>
      </c>
      <c r="N119">
        <v>1.181595</v>
      </c>
      <c r="O119">
        <v>127</v>
      </c>
      <c r="P119">
        <v>1.176229</v>
      </c>
      <c r="Q119">
        <v>133</v>
      </c>
      <c r="R119">
        <v>1.1763729999999999</v>
      </c>
      <c r="V119" s="10" cm="1">
        <f t="array" ref="V11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118)+1),6),"")</f>
        <v>0.30921700000000002</v>
      </c>
      <c r="W119" s="11">
        <f t="shared" si="5"/>
        <v>5069.5296689606903</v>
      </c>
      <c r="X119" s="15"/>
      <c r="Y119" s="30">
        <v>0.31892700000000002</v>
      </c>
      <c r="Z119" s="31"/>
      <c r="AA119" s="32"/>
      <c r="AB119" s="34">
        <v>1579279.8977777774</v>
      </c>
    </row>
    <row r="120" spans="1:28" x14ac:dyDescent="0.25">
      <c r="A120" s="9">
        <v>138</v>
      </c>
      <c r="B120">
        <v>1.1905220000000001</v>
      </c>
      <c r="C120">
        <f t="shared" si="3"/>
        <v>131</v>
      </c>
      <c r="D120">
        <v>1.1891890000000001</v>
      </c>
      <c r="E120" s="9">
        <f t="shared" si="4"/>
        <v>128</v>
      </c>
      <c r="F120">
        <v>1.1848289999999999</v>
      </c>
      <c r="G120" s="9">
        <v>138</v>
      </c>
      <c r="H120">
        <v>1.129705</v>
      </c>
      <c r="I120">
        <v>128</v>
      </c>
      <c r="J120">
        <v>1.1204639999999999</v>
      </c>
      <c r="K120">
        <v>128</v>
      </c>
      <c r="L120">
        <v>1.1217760000000001</v>
      </c>
      <c r="M120" s="9">
        <v>138</v>
      </c>
      <c r="N120">
        <v>1.178447</v>
      </c>
      <c r="O120">
        <v>126</v>
      </c>
      <c r="P120">
        <v>1.173446</v>
      </c>
      <c r="Q120">
        <v>132</v>
      </c>
      <c r="R120">
        <v>1.173848</v>
      </c>
      <c r="V120" s="10" cm="1">
        <f t="array" ref="V12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119)+1),6),"")</f>
        <v>0.31241099999999999</v>
      </c>
      <c r="W120" s="11">
        <f t="shared" si="5"/>
        <v>5121.894441151936</v>
      </c>
      <c r="X120" s="15"/>
      <c r="Y120" s="30">
        <v>0.32123000000000002</v>
      </c>
      <c r="Z120" s="31"/>
      <c r="AA120" s="32"/>
      <c r="AB120" s="34">
        <v>1589434.7133333329</v>
      </c>
    </row>
    <row r="121" spans="1:28" x14ac:dyDescent="0.25">
      <c r="A121" s="9">
        <v>137</v>
      </c>
      <c r="B121">
        <v>1.1879839999999999</v>
      </c>
      <c r="C121">
        <f t="shared" si="3"/>
        <v>130</v>
      </c>
      <c r="D121">
        <v>1.186285</v>
      </c>
      <c r="E121" s="9">
        <f t="shared" si="4"/>
        <v>127</v>
      </c>
      <c r="F121">
        <v>1.1871510000000001</v>
      </c>
      <c r="G121" s="9">
        <v>137</v>
      </c>
      <c r="H121">
        <v>1.127035</v>
      </c>
      <c r="I121">
        <v>127</v>
      </c>
      <c r="J121">
        <v>1.1313610000000001</v>
      </c>
      <c r="K121">
        <v>127</v>
      </c>
      <c r="L121">
        <v>1.1244989999999999</v>
      </c>
      <c r="M121" s="9">
        <v>137</v>
      </c>
      <c r="N121">
        <v>1.1760699999999999</v>
      </c>
      <c r="O121">
        <v>125</v>
      </c>
      <c r="P121">
        <v>1.1702950000000001</v>
      </c>
      <c r="Q121">
        <v>131</v>
      </c>
      <c r="R121">
        <v>1.1703699999999999</v>
      </c>
      <c r="V121" s="10" cm="1">
        <f t="array" ref="V12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120)+1),6),"")</f>
        <v>0.31494899999999998</v>
      </c>
      <c r="W121" s="11">
        <f t="shared" si="5"/>
        <v>5163.5042695243155</v>
      </c>
      <c r="X121" s="15"/>
      <c r="Y121" s="30">
        <v>0.32539600000000002</v>
      </c>
      <c r="Z121" s="31"/>
      <c r="AA121" s="32"/>
      <c r="AB121" s="34">
        <v>1599589.5288888884</v>
      </c>
    </row>
    <row r="122" spans="1:28" x14ac:dyDescent="0.25">
      <c r="A122" s="9">
        <v>136</v>
      </c>
      <c r="B122">
        <v>1.185049</v>
      </c>
      <c r="C122">
        <f t="shared" si="3"/>
        <v>129</v>
      </c>
      <c r="D122">
        <v>1.182766</v>
      </c>
      <c r="E122" s="9">
        <f t="shared" si="4"/>
        <v>126</v>
      </c>
      <c r="F122">
        <v>1.1838850000000001</v>
      </c>
      <c r="G122" s="9">
        <v>136</v>
      </c>
      <c r="H122">
        <v>1.1243639999999999</v>
      </c>
      <c r="I122">
        <v>126</v>
      </c>
      <c r="J122">
        <v>1.128541</v>
      </c>
      <c r="K122">
        <v>126</v>
      </c>
      <c r="L122">
        <v>1.12198</v>
      </c>
      <c r="M122" s="9">
        <v>136</v>
      </c>
      <c r="N122">
        <v>1.1734169999999999</v>
      </c>
      <c r="O122">
        <v>124</v>
      </c>
      <c r="P122">
        <v>1.1674329999999999</v>
      </c>
      <c r="Q122">
        <v>130</v>
      </c>
      <c r="R122">
        <v>1.16754</v>
      </c>
      <c r="V122" s="10" cm="1">
        <f t="array" ref="V12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121)+1),6),"")</f>
        <v>0.317884</v>
      </c>
      <c r="W122" s="11">
        <f t="shared" si="5"/>
        <v>5211.6228062748814</v>
      </c>
      <c r="X122" s="15"/>
      <c r="Y122" s="30">
        <v>0.32762000000000002</v>
      </c>
      <c r="Z122" s="31"/>
      <c r="AA122" s="32"/>
      <c r="AB122" s="34">
        <v>1609744.3444444439</v>
      </c>
    </row>
    <row r="123" spans="1:28" x14ac:dyDescent="0.25">
      <c r="A123" s="9">
        <v>135</v>
      </c>
      <c r="B123">
        <v>1.1839249999999999</v>
      </c>
      <c r="C123">
        <f t="shared" si="3"/>
        <v>128</v>
      </c>
      <c r="D123">
        <v>1.1799139999999999</v>
      </c>
      <c r="E123" s="9">
        <f t="shared" si="4"/>
        <v>125</v>
      </c>
      <c r="F123">
        <v>1.1817850000000001</v>
      </c>
      <c r="G123" s="9">
        <v>135</v>
      </c>
      <c r="H123">
        <v>1.1216250000000001</v>
      </c>
      <c r="I123">
        <v>125</v>
      </c>
      <c r="J123">
        <v>1.1254109999999999</v>
      </c>
      <c r="K123">
        <v>125</v>
      </c>
      <c r="L123">
        <v>1.1190899999999999</v>
      </c>
      <c r="M123" s="9">
        <v>135</v>
      </c>
      <c r="N123">
        <v>1.1710769999999999</v>
      </c>
      <c r="O123">
        <v>123</v>
      </c>
      <c r="P123">
        <v>1.1643870000000001</v>
      </c>
      <c r="Q123">
        <v>129</v>
      </c>
      <c r="R123">
        <v>1.1646110000000001</v>
      </c>
      <c r="V123" s="10" cm="1">
        <f t="array" ref="V12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122)+1),6),"")</f>
        <v>0.31900800000000001</v>
      </c>
      <c r="W123" s="11">
        <f t="shared" si="5"/>
        <v>5230.0504844035486</v>
      </c>
      <c r="X123" s="15"/>
      <c r="Y123" s="30">
        <v>0.329766</v>
      </c>
      <c r="Z123" s="31">
        <v>33</v>
      </c>
      <c r="AA123" s="32">
        <v>1619899.16</v>
      </c>
      <c r="AB123" s="34">
        <v>1619899.1599999995</v>
      </c>
    </row>
    <row r="124" spans="1:28" x14ac:dyDescent="0.25">
      <c r="A124" s="9">
        <v>134</v>
      </c>
      <c r="B124">
        <v>1.1812830000000001</v>
      </c>
      <c r="C124">
        <f t="shared" si="3"/>
        <v>127</v>
      </c>
      <c r="D124">
        <v>1.180321</v>
      </c>
      <c r="E124" s="9">
        <f t="shared" si="4"/>
        <v>124</v>
      </c>
      <c r="F124">
        <v>1.17842</v>
      </c>
      <c r="G124" s="9">
        <v>134</v>
      </c>
      <c r="H124">
        <v>1.1193310000000001</v>
      </c>
      <c r="I124">
        <v>124</v>
      </c>
      <c r="J124">
        <v>1.122471</v>
      </c>
      <c r="K124">
        <v>124</v>
      </c>
      <c r="L124">
        <v>1.116509</v>
      </c>
      <c r="M124" s="9">
        <v>134</v>
      </c>
      <c r="N124">
        <v>1.1682380000000001</v>
      </c>
      <c r="O124">
        <v>122</v>
      </c>
      <c r="P124">
        <v>1.1616500000000001</v>
      </c>
      <c r="Q124">
        <v>128</v>
      </c>
      <c r="R124">
        <v>1.1621859999999999</v>
      </c>
      <c r="V124" s="10" cm="1">
        <f t="array" ref="V12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123)+1),6),"")</f>
        <v>0.32164999999999999</v>
      </c>
      <c r="W124" s="11">
        <f t="shared" si="5"/>
        <v>5273.3653648447726</v>
      </c>
      <c r="X124" s="15"/>
      <c r="Y124" s="30">
        <v>0.33165699999999998</v>
      </c>
      <c r="Z124" s="31"/>
      <c r="AA124" s="32"/>
      <c r="AB124" s="34">
        <v>1630063.7977777773</v>
      </c>
    </row>
    <row r="125" spans="1:28" x14ac:dyDescent="0.25">
      <c r="A125" s="9">
        <v>133</v>
      </c>
      <c r="B125">
        <v>1.178504</v>
      </c>
      <c r="C125">
        <f t="shared" si="3"/>
        <v>126</v>
      </c>
      <c r="D125">
        <v>1.1774770000000001</v>
      </c>
      <c r="E125" s="9">
        <f t="shared" si="4"/>
        <v>123</v>
      </c>
      <c r="F125">
        <v>1.1768339999999999</v>
      </c>
      <c r="G125" s="9">
        <v>133</v>
      </c>
      <c r="H125">
        <v>1.1164529999999999</v>
      </c>
      <c r="I125">
        <v>123</v>
      </c>
      <c r="J125">
        <v>1.1190929999999999</v>
      </c>
      <c r="K125">
        <v>123</v>
      </c>
      <c r="L125">
        <v>1.1126860000000001</v>
      </c>
      <c r="M125" s="9">
        <v>133</v>
      </c>
      <c r="N125">
        <v>1.165216</v>
      </c>
      <c r="O125">
        <v>121</v>
      </c>
      <c r="P125">
        <v>1.1584369999999999</v>
      </c>
      <c r="Q125">
        <v>127</v>
      </c>
      <c r="R125">
        <v>1.169327</v>
      </c>
      <c r="V125" s="10" cm="1">
        <f t="array" ref="V12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124)+1),6),"")</f>
        <v>0.32442900000000002</v>
      </c>
      <c r="W125" s="11">
        <f t="shared" si="5"/>
        <v>5318.9263234920718</v>
      </c>
      <c r="X125" s="15"/>
      <c r="Y125" s="30">
        <v>0.33604000000000001</v>
      </c>
      <c r="Z125" s="31"/>
      <c r="AA125" s="32"/>
      <c r="AB125" s="34">
        <v>1640228.4355555552</v>
      </c>
    </row>
    <row r="126" spans="1:28" x14ac:dyDescent="0.25">
      <c r="A126" s="9">
        <v>132</v>
      </c>
      <c r="B126">
        <v>1.17557</v>
      </c>
      <c r="C126">
        <f t="shared" si="3"/>
        <v>125</v>
      </c>
      <c r="D126">
        <v>1.1741900000000001</v>
      </c>
      <c r="E126" s="9">
        <f t="shared" si="4"/>
        <v>122</v>
      </c>
      <c r="F126">
        <v>1.1733849999999999</v>
      </c>
      <c r="G126" s="9">
        <v>132</v>
      </c>
      <c r="H126">
        <v>1.1138999999999999</v>
      </c>
      <c r="I126">
        <v>122</v>
      </c>
      <c r="J126">
        <v>1.1162399999999999</v>
      </c>
      <c r="K126">
        <v>122</v>
      </c>
      <c r="L126">
        <v>1.1100319999999999</v>
      </c>
      <c r="M126" s="9">
        <v>132</v>
      </c>
      <c r="N126">
        <v>1.1627289999999999</v>
      </c>
      <c r="O126">
        <v>120</v>
      </c>
      <c r="P126">
        <v>1.155348</v>
      </c>
      <c r="Q126">
        <v>126</v>
      </c>
      <c r="R126">
        <v>1.166938</v>
      </c>
      <c r="V126" s="10" cm="1">
        <f t="array" ref="V12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125)+1),6),"")</f>
        <v>0.32736300000000002</v>
      </c>
      <c r="W126" s="11">
        <f t="shared" si="5"/>
        <v>5367.0284655112055</v>
      </c>
      <c r="X126" s="15"/>
      <c r="Y126" s="30">
        <v>0.33824500000000002</v>
      </c>
      <c r="Z126" s="31"/>
      <c r="AA126" s="32"/>
      <c r="AB126" s="34">
        <v>1650393.073333333</v>
      </c>
    </row>
    <row r="127" spans="1:28" x14ac:dyDescent="0.25">
      <c r="A127" s="9">
        <v>131</v>
      </c>
      <c r="B127">
        <v>1.1725380000000001</v>
      </c>
      <c r="C127">
        <f t="shared" si="3"/>
        <v>124</v>
      </c>
      <c r="D127">
        <v>1.1707419999999999</v>
      </c>
      <c r="E127" s="9">
        <f t="shared" si="4"/>
        <v>121</v>
      </c>
      <c r="F127">
        <v>1.1712039999999999</v>
      </c>
      <c r="G127" s="9">
        <v>131</v>
      </c>
      <c r="H127">
        <v>1.1102959999999999</v>
      </c>
      <c r="I127">
        <v>121</v>
      </c>
      <c r="J127">
        <v>1.1133930000000001</v>
      </c>
      <c r="K127">
        <v>121</v>
      </c>
      <c r="L127">
        <v>1.1072120000000001</v>
      </c>
      <c r="M127" s="9">
        <v>131</v>
      </c>
      <c r="N127">
        <v>1.1598329999999999</v>
      </c>
      <c r="O127">
        <v>119</v>
      </c>
      <c r="P127">
        <v>1.1530039999999999</v>
      </c>
      <c r="Q127">
        <v>125</v>
      </c>
      <c r="R127">
        <v>1.1636169999999999</v>
      </c>
      <c r="V127" s="10" cm="1">
        <f t="array" ref="V12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126)+1),6),"")</f>
        <v>0.33039499999999999</v>
      </c>
      <c r="W127" s="11">
        <f t="shared" si="5"/>
        <v>5416.7372912105975</v>
      </c>
      <c r="X127" s="15"/>
      <c r="Y127" s="30">
        <v>0.34124500000000002</v>
      </c>
      <c r="Z127" s="31"/>
      <c r="AA127" s="32"/>
      <c r="AB127" s="34">
        <v>1660557.7111111109</v>
      </c>
    </row>
    <row r="128" spans="1:28" x14ac:dyDescent="0.25">
      <c r="A128" s="9">
        <v>130</v>
      </c>
      <c r="B128">
        <v>1.1698059999999999</v>
      </c>
      <c r="C128">
        <f t="shared" si="3"/>
        <v>123</v>
      </c>
      <c r="D128">
        <v>1.169699</v>
      </c>
      <c r="E128" s="9">
        <f t="shared" si="4"/>
        <v>120</v>
      </c>
      <c r="F128">
        <v>1.168147</v>
      </c>
      <c r="G128" s="9">
        <v>130</v>
      </c>
      <c r="H128">
        <v>1.1072949999999999</v>
      </c>
      <c r="I128">
        <v>120</v>
      </c>
      <c r="J128">
        <v>1.110419</v>
      </c>
      <c r="K128">
        <v>120</v>
      </c>
      <c r="L128">
        <v>1.104873</v>
      </c>
      <c r="M128" s="9">
        <v>130</v>
      </c>
      <c r="N128">
        <v>1.15699</v>
      </c>
      <c r="O128">
        <v>118</v>
      </c>
      <c r="P128">
        <v>1.1502790000000001</v>
      </c>
      <c r="Q128">
        <v>124</v>
      </c>
      <c r="R128">
        <v>1.1610020000000001</v>
      </c>
      <c r="V128" s="10" cm="1">
        <f t="array" ref="V12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127)+1),6),"")</f>
        <v>0.33312700000000001</v>
      </c>
      <c r="W128" s="11">
        <f t="shared" si="5"/>
        <v>5461.5276974806302</v>
      </c>
      <c r="X128" s="15"/>
      <c r="Y128" s="30">
        <v>0.342976</v>
      </c>
      <c r="Z128" s="31"/>
      <c r="AA128" s="32"/>
      <c r="AB128" s="34">
        <v>1670722.3488888887</v>
      </c>
    </row>
    <row r="129" spans="1:28" x14ac:dyDescent="0.25">
      <c r="A129" s="9">
        <v>129</v>
      </c>
      <c r="B129">
        <v>1.1671229999999999</v>
      </c>
      <c r="C129">
        <f t="shared" si="3"/>
        <v>122</v>
      </c>
      <c r="D129">
        <v>1.1662980000000001</v>
      </c>
      <c r="E129" s="9">
        <f t="shared" si="4"/>
        <v>119</v>
      </c>
      <c r="F129">
        <v>1.1630769999999999</v>
      </c>
      <c r="G129" s="9">
        <v>129</v>
      </c>
      <c r="H129">
        <v>1.104876</v>
      </c>
      <c r="I129">
        <v>119</v>
      </c>
      <c r="J129">
        <v>1.1066819999999999</v>
      </c>
      <c r="K129">
        <v>119</v>
      </c>
      <c r="L129">
        <v>1.1009439999999999</v>
      </c>
      <c r="M129" s="9">
        <v>129</v>
      </c>
      <c r="N129">
        <v>1.154523</v>
      </c>
      <c r="O129">
        <v>117</v>
      </c>
      <c r="P129">
        <v>1.1472230000000001</v>
      </c>
      <c r="Q129">
        <v>123</v>
      </c>
      <c r="R129">
        <v>1.1576919999999999</v>
      </c>
      <c r="V129" s="10" cm="1">
        <f t="array" ref="V12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128)+1),6),"")</f>
        <v>0.33581</v>
      </c>
      <c r="W129" s="11">
        <f t="shared" si="5"/>
        <v>5505.5147619105337</v>
      </c>
      <c r="X129" s="15"/>
      <c r="Y129" s="30">
        <v>0.34364099999999997</v>
      </c>
      <c r="Z129" s="31"/>
      <c r="AA129" s="32"/>
      <c r="AB129" s="34">
        <v>1680886.9866666666</v>
      </c>
    </row>
    <row r="130" spans="1:28" x14ac:dyDescent="0.25">
      <c r="A130" s="9">
        <v>128</v>
      </c>
      <c r="B130">
        <v>1.1640360000000001</v>
      </c>
      <c r="C130">
        <f t="shared" si="3"/>
        <v>121</v>
      </c>
      <c r="D130">
        <v>1.163192</v>
      </c>
      <c r="E130" s="9">
        <f t="shared" si="4"/>
        <v>118</v>
      </c>
      <c r="F130">
        <v>1.1600950000000001</v>
      </c>
      <c r="G130" s="9">
        <v>128</v>
      </c>
      <c r="H130">
        <v>1.1021380000000001</v>
      </c>
      <c r="I130">
        <v>118</v>
      </c>
      <c r="J130">
        <v>1.103596</v>
      </c>
      <c r="K130">
        <v>118</v>
      </c>
      <c r="L130">
        <v>1.098422</v>
      </c>
      <c r="M130" s="9">
        <v>128</v>
      </c>
      <c r="N130">
        <v>1.151491</v>
      </c>
      <c r="O130">
        <v>116</v>
      </c>
      <c r="P130">
        <v>1.1444209999999999</v>
      </c>
      <c r="Q130">
        <v>122</v>
      </c>
      <c r="R130">
        <v>1.155152</v>
      </c>
      <c r="V130" s="10" cm="1">
        <f t="array" ref="V13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129)+1),6),"")</f>
        <v>0.338897</v>
      </c>
      <c r="W130" s="11">
        <f t="shared" si="5"/>
        <v>5556.125297838641</v>
      </c>
      <c r="X130" s="15"/>
      <c r="Y130" s="30">
        <v>0.34509899999999999</v>
      </c>
      <c r="Z130" s="31"/>
      <c r="AA130" s="32"/>
      <c r="AB130" s="34">
        <v>1691051.6244444444</v>
      </c>
    </row>
    <row r="131" spans="1:28" x14ac:dyDescent="0.25">
      <c r="A131" s="9">
        <v>127</v>
      </c>
      <c r="B131">
        <v>1.1720029999999999</v>
      </c>
      <c r="C131">
        <f t="shared" si="3"/>
        <v>120</v>
      </c>
      <c r="D131">
        <v>1.1602460000000001</v>
      </c>
      <c r="E131" s="9">
        <f t="shared" si="4"/>
        <v>117</v>
      </c>
      <c r="F131">
        <v>1.1578219999999999</v>
      </c>
      <c r="G131" s="9">
        <v>127</v>
      </c>
      <c r="H131">
        <v>1.113864</v>
      </c>
      <c r="I131">
        <v>117</v>
      </c>
      <c r="J131">
        <v>1.1008599999999999</v>
      </c>
      <c r="K131">
        <v>117</v>
      </c>
      <c r="L131">
        <v>1.0956840000000001</v>
      </c>
      <c r="M131" s="9">
        <v>127</v>
      </c>
      <c r="N131">
        <v>1.1595759999999999</v>
      </c>
      <c r="O131">
        <v>115</v>
      </c>
      <c r="P131">
        <v>1.1412119999999999</v>
      </c>
      <c r="Q131">
        <v>121</v>
      </c>
      <c r="R131">
        <v>1.152064</v>
      </c>
      <c r="V131" s="10" cm="1">
        <f t="array" ref="V13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130)+1),6),"")</f>
        <v>0.33093</v>
      </c>
      <c r="W131" s="11">
        <f t="shared" si="5"/>
        <v>5425.5084725262886</v>
      </c>
      <c r="X131" s="15"/>
      <c r="Y131" s="30">
        <v>0.34780899999999998</v>
      </c>
      <c r="Z131" s="31"/>
      <c r="AA131" s="32"/>
      <c r="AB131" s="34">
        <v>1701216.2622222223</v>
      </c>
    </row>
    <row r="132" spans="1:28" x14ac:dyDescent="0.25">
      <c r="A132" s="9">
        <v>126</v>
      </c>
      <c r="B132">
        <v>1.1692450000000001</v>
      </c>
      <c r="C132">
        <f t="shared" si="3"/>
        <v>119</v>
      </c>
      <c r="D132">
        <v>1.157521</v>
      </c>
      <c r="E132" s="9">
        <f t="shared" si="4"/>
        <v>116</v>
      </c>
      <c r="F132">
        <v>1.1547860000000001</v>
      </c>
      <c r="G132" s="9">
        <v>126</v>
      </c>
      <c r="H132">
        <v>1.1112029999999999</v>
      </c>
      <c r="I132">
        <v>116</v>
      </c>
      <c r="J132">
        <v>1.0979669999999999</v>
      </c>
      <c r="K132">
        <v>116</v>
      </c>
      <c r="L132">
        <v>1.0929249999999999</v>
      </c>
      <c r="M132" s="9">
        <v>126</v>
      </c>
      <c r="N132">
        <v>1.156587</v>
      </c>
      <c r="O132">
        <v>114</v>
      </c>
      <c r="P132">
        <v>1.138612</v>
      </c>
      <c r="Q132">
        <v>120</v>
      </c>
      <c r="R132">
        <v>1.1492599999999999</v>
      </c>
      <c r="V132" s="10" cm="1">
        <f t="array" ref="V13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131)+1),6),"")</f>
        <v>0.33368799999999998</v>
      </c>
      <c r="W132" s="11">
        <f t="shared" si="5"/>
        <v>5470.7251418135311</v>
      </c>
      <c r="X132" s="15"/>
      <c r="Y132" s="30">
        <v>0.34937000000000001</v>
      </c>
      <c r="Z132" s="31">
        <v>32.5</v>
      </c>
      <c r="AA132" s="32">
        <v>1711380.9</v>
      </c>
      <c r="AB132" s="34">
        <v>1711380.9000000001</v>
      </c>
    </row>
    <row r="133" spans="1:28" x14ac:dyDescent="0.25">
      <c r="A133" s="9">
        <v>125</v>
      </c>
      <c r="B133">
        <v>1.1664099999999999</v>
      </c>
      <c r="C133">
        <f t="shared" ref="C133:C196" si="6">C132-1</f>
        <v>118</v>
      </c>
      <c r="D133">
        <v>1.154493</v>
      </c>
      <c r="E133" s="9">
        <f t="shared" ref="E133:E196" si="7">E132-1</f>
        <v>115</v>
      </c>
      <c r="F133">
        <v>1.152809</v>
      </c>
      <c r="G133" s="9">
        <v>125</v>
      </c>
      <c r="H133">
        <v>1.1082780000000001</v>
      </c>
      <c r="I133">
        <v>115</v>
      </c>
      <c r="J133">
        <v>1.0946389999999999</v>
      </c>
      <c r="K133">
        <v>115</v>
      </c>
      <c r="L133">
        <v>1.0893360000000001</v>
      </c>
      <c r="M133" s="9">
        <v>125</v>
      </c>
      <c r="N133">
        <v>1.1539839999999999</v>
      </c>
      <c r="O133">
        <v>113</v>
      </c>
      <c r="P133">
        <v>1.1353599999999999</v>
      </c>
      <c r="Q133">
        <v>119</v>
      </c>
      <c r="R133">
        <v>1.146625</v>
      </c>
      <c r="V133" s="10" cm="1">
        <f t="array" ref="V13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132)+1),6),"")</f>
        <v>0.33652300000000002</v>
      </c>
      <c r="W133" s="11">
        <f t="shared" ref="W133:W196" si="8">V133*16394.7314311978</f>
        <v>5517.2042054209778</v>
      </c>
      <c r="X133" s="15"/>
      <c r="Y133" s="30">
        <v>0.34998400000000002</v>
      </c>
      <c r="Z133" s="31"/>
      <c r="AA133" s="32"/>
      <c r="AB133" s="34">
        <v>1724092.8885714288</v>
      </c>
    </row>
    <row r="134" spans="1:28" x14ac:dyDescent="0.25">
      <c r="A134" s="9">
        <v>124</v>
      </c>
      <c r="B134">
        <v>1.163457</v>
      </c>
      <c r="C134">
        <f t="shared" si="6"/>
        <v>117</v>
      </c>
      <c r="D134">
        <v>1.1509039999999999</v>
      </c>
      <c r="E134" s="9">
        <f t="shared" si="7"/>
        <v>114</v>
      </c>
      <c r="F134">
        <v>1.1492990000000001</v>
      </c>
      <c r="G134" s="9">
        <v>124</v>
      </c>
      <c r="H134">
        <v>1.105775</v>
      </c>
      <c r="I134">
        <v>114</v>
      </c>
      <c r="J134">
        <v>1.0917030000000001</v>
      </c>
      <c r="K134">
        <v>114</v>
      </c>
      <c r="L134">
        <v>1.086881</v>
      </c>
      <c r="M134" s="9">
        <v>124</v>
      </c>
      <c r="N134">
        <v>1.1511400000000001</v>
      </c>
      <c r="O134">
        <v>112</v>
      </c>
      <c r="P134">
        <v>1.1326000000000001</v>
      </c>
      <c r="Q134">
        <v>118</v>
      </c>
      <c r="R134">
        <v>1.143993</v>
      </c>
      <c r="V134" s="10" cm="1">
        <f t="array" ref="V13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133)+1),6),"")</f>
        <v>0.339476</v>
      </c>
      <c r="W134" s="11">
        <f t="shared" si="8"/>
        <v>5565.6178473373047</v>
      </c>
      <c r="X134" s="15"/>
      <c r="Y134" s="30">
        <v>0.35151300000000002</v>
      </c>
      <c r="Z134" s="31"/>
      <c r="AA134" s="32"/>
      <c r="AB134" s="34">
        <v>1736804.8771428575</v>
      </c>
    </row>
    <row r="135" spans="1:28" x14ac:dyDescent="0.25">
      <c r="A135" s="9">
        <v>123</v>
      </c>
      <c r="B135">
        <v>1.1602319999999999</v>
      </c>
      <c r="C135">
        <f t="shared" si="6"/>
        <v>116</v>
      </c>
      <c r="D135">
        <v>1.1479950000000001</v>
      </c>
      <c r="E135" s="9">
        <f t="shared" si="7"/>
        <v>113</v>
      </c>
      <c r="F135">
        <v>1.1473260000000001</v>
      </c>
      <c r="G135" s="9">
        <v>123</v>
      </c>
      <c r="H135">
        <v>1.1022149999999999</v>
      </c>
      <c r="I135">
        <v>113</v>
      </c>
      <c r="J135">
        <v>1.0885359999999999</v>
      </c>
      <c r="K135">
        <v>113</v>
      </c>
      <c r="L135">
        <v>1.0840019999999999</v>
      </c>
      <c r="M135" s="9">
        <v>123</v>
      </c>
      <c r="N135">
        <v>1.1479280000000001</v>
      </c>
      <c r="O135">
        <v>111</v>
      </c>
      <c r="P135">
        <v>1.13154</v>
      </c>
      <c r="Q135">
        <v>117</v>
      </c>
      <c r="R135">
        <v>1.1408929999999999</v>
      </c>
      <c r="V135" s="10" cm="1">
        <f t="array" ref="V13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134)+1),6),"")</f>
        <v>0.34270099999999998</v>
      </c>
      <c r="W135" s="11">
        <f t="shared" si="8"/>
        <v>5618.4908562029168</v>
      </c>
      <c r="X135" s="15"/>
      <c r="Y135" s="30">
        <v>0.35444799999999999</v>
      </c>
      <c r="Z135" s="31"/>
      <c r="AA135" s="32"/>
      <c r="AB135" s="34">
        <v>1749516.8657142862</v>
      </c>
    </row>
    <row r="136" spans="1:28" x14ac:dyDescent="0.25">
      <c r="A136" s="9">
        <v>122</v>
      </c>
      <c r="B136">
        <v>1.1574880000000001</v>
      </c>
      <c r="C136">
        <f t="shared" si="6"/>
        <v>115</v>
      </c>
      <c r="D136">
        <v>1.146652</v>
      </c>
      <c r="E136" s="9">
        <f t="shared" si="7"/>
        <v>112</v>
      </c>
      <c r="F136">
        <v>1.144171</v>
      </c>
      <c r="G136" s="9">
        <v>122</v>
      </c>
      <c r="H136">
        <v>1.0996079999999999</v>
      </c>
      <c r="I136">
        <v>112</v>
      </c>
      <c r="J136">
        <v>1.0857829999999999</v>
      </c>
      <c r="K136">
        <v>112</v>
      </c>
      <c r="L136">
        <v>1.0814280000000001</v>
      </c>
      <c r="M136" s="9">
        <v>122</v>
      </c>
      <c r="N136">
        <v>1.1452549999999999</v>
      </c>
      <c r="O136">
        <v>110</v>
      </c>
      <c r="P136">
        <v>1.1287199999999999</v>
      </c>
      <c r="Q136">
        <v>116</v>
      </c>
      <c r="R136">
        <v>1.138468</v>
      </c>
      <c r="V136" s="10" cm="1">
        <f t="array" ref="V13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135)+1),6),"")</f>
        <v>0.345445</v>
      </c>
      <c r="W136" s="11">
        <f t="shared" si="8"/>
        <v>5663.4779992501244</v>
      </c>
      <c r="X136" s="15"/>
      <c r="Y136" s="30">
        <v>0.35672799999999999</v>
      </c>
      <c r="Z136" s="31"/>
      <c r="AA136" s="32"/>
      <c r="AB136" s="34">
        <v>1762228.8542857149</v>
      </c>
    </row>
    <row r="137" spans="1:28" x14ac:dyDescent="0.25">
      <c r="A137" s="9">
        <v>121</v>
      </c>
      <c r="B137">
        <v>1.154874</v>
      </c>
      <c r="C137">
        <f t="shared" si="6"/>
        <v>114</v>
      </c>
      <c r="D137">
        <v>1.143643</v>
      </c>
      <c r="E137" s="9">
        <f t="shared" si="7"/>
        <v>111</v>
      </c>
      <c r="F137">
        <v>1.1417630000000001</v>
      </c>
      <c r="G137" s="9">
        <v>121</v>
      </c>
      <c r="H137">
        <v>1.0968169999999999</v>
      </c>
      <c r="I137">
        <v>111</v>
      </c>
      <c r="J137">
        <v>1.0865419999999999</v>
      </c>
      <c r="K137">
        <v>111</v>
      </c>
      <c r="L137">
        <v>1.080775</v>
      </c>
      <c r="M137" s="9">
        <v>121</v>
      </c>
      <c r="N137">
        <v>1.1426480000000001</v>
      </c>
      <c r="O137">
        <v>109</v>
      </c>
      <c r="P137">
        <v>1.1254299999999999</v>
      </c>
      <c r="Q137">
        <v>115</v>
      </c>
      <c r="R137">
        <v>1.1346339999999999</v>
      </c>
      <c r="V137" s="10" cm="1">
        <f t="array" ref="V13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136)+1),6),"")</f>
        <v>0.34805900000000001</v>
      </c>
      <c r="W137" s="11">
        <f t="shared" si="8"/>
        <v>5706.3338272112751</v>
      </c>
      <c r="X137" s="15"/>
      <c r="Y137" s="30">
        <v>0.36097200000000002</v>
      </c>
      <c r="Z137" s="31"/>
      <c r="AA137" s="32"/>
      <c r="AB137" s="34">
        <v>1774940.8428571436</v>
      </c>
    </row>
    <row r="138" spans="1:28" x14ac:dyDescent="0.25">
      <c r="A138" s="9">
        <v>120</v>
      </c>
      <c r="B138">
        <v>1.15161</v>
      </c>
      <c r="C138">
        <f t="shared" si="6"/>
        <v>113</v>
      </c>
      <c r="D138">
        <v>1.140274</v>
      </c>
      <c r="E138" s="9">
        <f t="shared" si="7"/>
        <v>110</v>
      </c>
      <c r="F138">
        <v>1.1385479999999999</v>
      </c>
      <c r="G138" s="9">
        <v>120</v>
      </c>
      <c r="H138">
        <v>1.093998</v>
      </c>
      <c r="I138">
        <v>110</v>
      </c>
      <c r="J138">
        <v>1.0837840000000001</v>
      </c>
      <c r="K138">
        <v>110</v>
      </c>
      <c r="L138">
        <v>1.077931</v>
      </c>
      <c r="M138" s="9">
        <v>120</v>
      </c>
      <c r="N138">
        <v>1.1397379999999999</v>
      </c>
      <c r="O138">
        <v>108</v>
      </c>
      <c r="P138">
        <v>1.1226609999999999</v>
      </c>
      <c r="Q138">
        <v>114</v>
      </c>
      <c r="R138">
        <v>1.132328</v>
      </c>
      <c r="V138" s="10" cm="1">
        <f t="array" ref="V13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137)+1),6),"")</f>
        <v>0.351323</v>
      </c>
      <c r="W138" s="11">
        <f t="shared" si="8"/>
        <v>5759.846230602705</v>
      </c>
      <c r="X138" s="15"/>
      <c r="Y138" s="30">
        <v>0.36298799999999998</v>
      </c>
      <c r="Z138" s="31"/>
      <c r="AA138" s="32"/>
      <c r="AB138" s="34">
        <v>1787652.8314285723</v>
      </c>
    </row>
    <row r="139" spans="1:28" ht="13" thickBot="1" x14ac:dyDescent="0.3">
      <c r="A139" s="9">
        <v>119</v>
      </c>
      <c r="B139">
        <v>1.150828</v>
      </c>
      <c r="C139">
        <f t="shared" si="6"/>
        <v>112</v>
      </c>
      <c r="D139">
        <v>1.136962</v>
      </c>
      <c r="E139" s="9">
        <f t="shared" si="7"/>
        <v>109</v>
      </c>
      <c r="F139">
        <v>1.136053</v>
      </c>
      <c r="G139" s="9">
        <v>119</v>
      </c>
      <c r="H139">
        <v>1.0918110000000001</v>
      </c>
      <c r="I139">
        <v>109</v>
      </c>
      <c r="J139">
        <v>1.0809770000000001</v>
      </c>
      <c r="K139">
        <v>109</v>
      </c>
      <c r="L139">
        <v>1.075345</v>
      </c>
      <c r="M139" s="9">
        <v>119</v>
      </c>
      <c r="N139">
        <v>1.1373709999999999</v>
      </c>
      <c r="O139">
        <v>107</v>
      </c>
      <c r="P139">
        <v>1.1197299999999999</v>
      </c>
      <c r="Q139">
        <v>113</v>
      </c>
      <c r="R139">
        <v>1.129237</v>
      </c>
      <c r="V139" s="10" cm="1">
        <f t="array" ref="V13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138)+1),6),"")</f>
        <v>0.352105</v>
      </c>
      <c r="W139" s="11">
        <f t="shared" si="8"/>
        <v>5772.6669105819019</v>
      </c>
      <c r="X139" s="15"/>
      <c r="Y139" s="35">
        <v>0.36497600000000002</v>
      </c>
      <c r="Z139" s="36">
        <v>32</v>
      </c>
      <c r="AA139" s="37">
        <v>1800364.82</v>
      </c>
      <c r="AB139" s="38">
        <v>1800364.820000001</v>
      </c>
    </row>
    <row r="140" spans="1:28" x14ac:dyDescent="0.25">
      <c r="A140" s="9">
        <v>118</v>
      </c>
      <c r="B140">
        <v>1.147729</v>
      </c>
      <c r="C140">
        <f t="shared" si="6"/>
        <v>111</v>
      </c>
      <c r="D140">
        <v>1.1359429999999999</v>
      </c>
      <c r="E140" s="9">
        <f t="shared" si="7"/>
        <v>108</v>
      </c>
      <c r="F140">
        <v>1.1332530000000001</v>
      </c>
      <c r="G140" s="9">
        <v>118</v>
      </c>
      <c r="H140">
        <v>1.089027</v>
      </c>
      <c r="I140">
        <v>108</v>
      </c>
      <c r="J140">
        <v>1.077771</v>
      </c>
      <c r="K140">
        <v>108</v>
      </c>
      <c r="L140">
        <v>1.072859</v>
      </c>
      <c r="M140" s="9">
        <v>118</v>
      </c>
      <c r="N140">
        <v>1.134587</v>
      </c>
      <c r="O140">
        <v>106</v>
      </c>
      <c r="P140">
        <v>1.117108</v>
      </c>
      <c r="Q140">
        <v>112</v>
      </c>
      <c r="R140">
        <v>1.126749</v>
      </c>
      <c r="V140" s="10" cm="1">
        <f t="array" ref="V14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139)+1),6),"")</f>
        <v>0.35520400000000002</v>
      </c>
      <c r="W140" s="11">
        <f t="shared" si="8"/>
        <v>5823.4741832871841</v>
      </c>
      <c r="X140" s="15"/>
      <c r="Y140" s="28"/>
      <c r="Z140" s="39"/>
      <c r="AA140" s="40"/>
      <c r="AB140" s="41"/>
    </row>
    <row r="141" spans="1:28" x14ac:dyDescent="0.25">
      <c r="A141" s="9">
        <v>117</v>
      </c>
      <c r="B141">
        <v>1.145143</v>
      </c>
      <c r="C141">
        <f t="shared" si="6"/>
        <v>110</v>
      </c>
      <c r="D141">
        <v>1.1329929999999999</v>
      </c>
      <c r="E141" s="9">
        <f t="shared" si="7"/>
        <v>107</v>
      </c>
      <c r="F141">
        <v>1.1314329999999999</v>
      </c>
      <c r="G141" s="9">
        <v>117</v>
      </c>
      <c r="H141">
        <v>1.08636</v>
      </c>
      <c r="I141">
        <v>107</v>
      </c>
      <c r="J141">
        <v>1.0747679999999999</v>
      </c>
      <c r="K141">
        <v>107</v>
      </c>
      <c r="L141">
        <v>1.0688530000000001</v>
      </c>
      <c r="M141" s="9">
        <v>117</v>
      </c>
      <c r="N141">
        <v>1.1317280000000001</v>
      </c>
      <c r="O141">
        <v>105</v>
      </c>
      <c r="P141">
        <v>1.113475</v>
      </c>
      <c r="Q141">
        <v>111</v>
      </c>
      <c r="R141">
        <v>1.123864</v>
      </c>
      <c r="V141" s="10" cm="1">
        <f t="array" ref="V14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140)+1),6),"")</f>
        <v>0.35779</v>
      </c>
      <c r="W141" s="11">
        <f t="shared" si="8"/>
        <v>5865.8709587682615</v>
      </c>
      <c r="X141" s="15"/>
      <c r="Y141" s="13"/>
      <c r="Z141" s="10"/>
      <c r="AA141" s="11"/>
      <c r="AB141" s="12"/>
    </row>
    <row r="142" spans="1:28" x14ac:dyDescent="0.25">
      <c r="A142" s="9">
        <v>116</v>
      </c>
      <c r="B142">
        <v>1.142266</v>
      </c>
      <c r="C142">
        <f t="shared" si="6"/>
        <v>109</v>
      </c>
      <c r="D142">
        <v>1.1295200000000001</v>
      </c>
      <c r="E142" s="9">
        <f t="shared" si="7"/>
        <v>106</v>
      </c>
      <c r="F142">
        <v>1.128158</v>
      </c>
      <c r="G142" s="9">
        <v>116</v>
      </c>
      <c r="H142">
        <v>1.0836349999999999</v>
      </c>
      <c r="I142">
        <v>106</v>
      </c>
      <c r="J142">
        <v>1.0716349999999999</v>
      </c>
      <c r="K142">
        <v>106</v>
      </c>
      <c r="L142">
        <v>1.066192</v>
      </c>
      <c r="M142" s="9">
        <v>116</v>
      </c>
      <c r="N142">
        <v>1.1291100000000001</v>
      </c>
      <c r="O142">
        <v>104</v>
      </c>
      <c r="P142">
        <v>1.110708</v>
      </c>
      <c r="Q142">
        <v>110</v>
      </c>
      <c r="R142">
        <v>1.121453</v>
      </c>
      <c r="V142" s="10" cm="1">
        <f t="array" ref="V14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141)+1),6),"")</f>
        <v>0.36066700000000002</v>
      </c>
      <c r="W142" s="11">
        <f t="shared" si="8"/>
        <v>5913.0386010958173</v>
      </c>
      <c r="X142" s="15"/>
      <c r="Y142" s="13"/>
      <c r="Z142" s="10"/>
      <c r="AA142" s="11"/>
      <c r="AB142" s="12"/>
    </row>
    <row r="143" spans="1:28" x14ac:dyDescent="0.25">
      <c r="A143" s="9">
        <v>115</v>
      </c>
      <c r="B143">
        <v>1.1389480000000001</v>
      </c>
      <c r="C143">
        <f t="shared" si="6"/>
        <v>108</v>
      </c>
      <c r="D143">
        <v>1.1265540000000001</v>
      </c>
      <c r="E143" s="9">
        <f t="shared" si="7"/>
        <v>105</v>
      </c>
      <c r="F143">
        <v>1.126177</v>
      </c>
      <c r="G143" s="9">
        <v>115</v>
      </c>
      <c r="H143">
        <v>1.079844</v>
      </c>
      <c r="I143">
        <v>105</v>
      </c>
      <c r="J143">
        <v>1.0687120000000001</v>
      </c>
      <c r="K143">
        <v>105</v>
      </c>
      <c r="L143">
        <v>1.063307</v>
      </c>
      <c r="M143" s="9">
        <v>115</v>
      </c>
      <c r="N143">
        <v>1.1262030000000001</v>
      </c>
      <c r="O143">
        <v>103</v>
      </c>
      <c r="P143">
        <v>1.108276</v>
      </c>
      <c r="Q143">
        <v>109</v>
      </c>
      <c r="R143">
        <v>1.118425</v>
      </c>
      <c r="V143" s="10" cm="1">
        <f t="array" ref="V14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142)+1),6),"")</f>
        <v>0.363985</v>
      </c>
      <c r="W143" s="11">
        <f t="shared" si="8"/>
        <v>5967.4363199845311</v>
      </c>
      <c r="X143" s="15"/>
      <c r="Y143" s="13"/>
      <c r="Z143" s="10"/>
      <c r="AA143" s="11"/>
      <c r="AB143" s="12"/>
    </row>
    <row r="144" spans="1:28" x14ac:dyDescent="0.25">
      <c r="A144" s="9">
        <v>114</v>
      </c>
      <c r="B144">
        <v>1.136233</v>
      </c>
      <c r="C144">
        <f t="shared" si="6"/>
        <v>107</v>
      </c>
      <c r="D144">
        <v>1.125019</v>
      </c>
      <c r="E144" s="9">
        <f t="shared" si="7"/>
        <v>104</v>
      </c>
      <c r="F144">
        <v>1.122671</v>
      </c>
      <c r="G144" s="9">
        <v>114</v>
      </c>
      <c r="H144">
        <v>1.077612</v>
      </c>
      <c r="I144">
        <v>104</v>
      </c>
      <c r="J144">
        <v>1.0657399999999999</v>
      </c>
      <c r="K144">
        <v>104</v>
      </c>
      <c r="L144">
        <v>1.0609500000000001</v>
      </c>
      <c r="M144" s="9">
        <v>114</v>
      </c>
      <c r="N144">
        <v>1.1232549999999999</v>
      </c>
      <c r="O144">
        <v>102</v>
      </c>
      <c r="P144">
        <v>1.1054060000000001</v>
      </c>
      <c r="Q144">
        <v>108</v>
      </c>
      <c r="R144">
        <v>1.1158239999999999</v>
      </c>
      <c r="V144" s="10" cm="1">
        <f t="array" ref="V14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143)+1),6),"")</f>
        <v>0.36670000000000003</v>
      </c>
      <c r="W144" s="11">
        <f t="shared" si="8"/>
        <v>6011.9480158202341</v>
      </c>
      <c r="X144" s="15"/>
      <c r="Y144" s="13"/>
      <c r="Z144" s="10"/>
      <c r="AA144" s="11"/>
      <c r="AB144" s="12"/>
    </row>
    <row r="145" spans="1:28" x14ac:dyDescent="0.25">
      <c r="A145" s="9">
        <v>113</v>
      </c>
      <c r="B145">
        <v>1.1337029999999999</v>
      </c>
      <c r="C145">
        <f t="shared" si="6"/>
        <v>106</v>
      </c>
      <c r="D145">
        <v>1.1222129999999999</v>
      </c>
      <c r="E145" s="9">
        <f t="shared" si="7"/>
        <v>103</v>
      </c>
      <c r="F145">
        <v>1.1178189999999999</v>
      </c>
      <c r="G145" s="9">
        <v>113</v>
      </c>
      <c r="H145">
        <v>1.074838</v>
      </c>
      <c r="I145">
        <v>103</v>
      </c>
      <c r="J145">
        <v>1.0618650000000001</v>
      </c>
      <c r="K145">
        <v>103</v>
      </c>
      <c r="L145">
        <v>1.056845</v>
      </c>
      <c r="M145" s="9">
        <v>113</v>
      </c>
      <c r="N145">
        <v>1.1205369999999999</v>
      </c>
      <c r="O145">
        <v>101</v>
      </c>
      <c r="P145">
        <v>1.1019000000000001</v>
      </c>
      <c r="Q145">
        <v>107</v>
      </c>
      <c r="R145">
        <v>1.1122339999999999</v>
      </c>
      <c r="V145" s="10" cm="1">
        <f t="array" ref="V14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144)+1),6),"")</f>
        <v>0.36923</v>
      </c>
      <c r="W145" s="11">
        <f t="shared" si="8"/>
        <v>6053.426686341164</v>
      </c>
      <c r="X145" s="15"/>
      <c r="Y145" s="13"/>
      <c r="Z145" s="10"/>
      <c r="AA145" s="11"/>
      <c r="AB145" s="12"/>
    </row>
    <row r="146" spans="1:28" x14ac:dyDescent="0.25">
      <c r="A146" s="9">
        <v>112</v>
      </c>
      <c r="B146">
        <v>1.1306069999999999</v>
      </c>
      <c r="C146">
        <f t="shared" si="6"/>
        <v>105</v>
      </c>
      <c r="D146">
        <v>1.1189499999999999</v>
      </c>
      <c r="E146" s="9">
        <f t="shared" si="7"/>
        <v>102</v>
      </c>
      <c r="F146">
        <v>1.114649</v>
      </c>
      <c r="G146" s="9">
        <v>112</v>
      </c>
      <c r="H146">
        <v>1.07206</v>
      </c>
      <c r="I146">
        <v>102</v>
      </c>
      <c r="J146">
        <v>1.0589440000000001</v>
      </c>
      <c r="K146">
        <v>102</v>
      </c>
      <c r="L146">
        <v>1.0542590000000001</v>
      </c>
      <c r="M146" s="9">
        <v>112</v>
      </c>
      <c r="N146">
        <v>1.1176809999999999</v>
      </c>
      <c r="O146">
        <v>100</v>
      </c>
      <c r="P146">
        <v>1.0993010000000001</v>
      </c>
      <c r="Q146">
        <v>106</v>
      </c>
      <c r="R146">
        <v>1.109701</v>
      </c>
      <c r="V146" s="10" cm="1">
        <f t="array" ref="V14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145)+1),6),"")</f>
        <v>0.37232599999999999</v>
      </c>
      <c r="W146" s="11">
        <f t="shared" si="8"/>
        <v>6104.1847748521523</v>
      </c>
      <c r="X146" s="15"/>
      <c r="Y146" s="13"/>
      <c r="Z146" s="10"/>
      <c r="AA146" s="11"/>
      <c r="AB146" s="12"/>
    </row>
    <row r="147" spans="1:28" x14ac:dyDescent="0.25">
      <c r="A147" s="9">
        <v>111</v>
      </c>
      <c r="B147">
        <v>1.12635</v>
      </c>
      <c r="C147">
        <f t="shared" si="6"/>
        <v>104</v>
      </c>
      <c r="D147">
        <v>1.1156820000000001</v>
      </c>
      <c r="E147" s="9">
        <f t="shared" si="7"/>
        <v>101</v>
      </c>
      <c r="F147">
        <v>1.11229</v>
      </c>
      <c r="G147" s="9">
        <v>111</v>
      </c>
      <c r="H147">
        <v>1.070168</v>
      </c>
      <c r="I147">
        <v>101</v>
      </c>
      <c r="J147">
        <v>1.0560639999999999</v>
      </c>
      <c r="K147">
        <v>101</v>
      </c>
      <c r="L147">
        <v>1.0515730000000001</v>
      </c>
      <c r="M147" s="9">
        <v>111</v>
      </c>
      <c r="N147">
        <v>1.116865</v>
      </c>
      <c r="O147">
        <v>99</v>
      </c>
      <c r="P147">
        <v>1.096006</v>
      </c>
      <c r="Q147">
        <v>105</v>
      </c>
      <c r="R147">
        <v>1.106284</v>
      </c>
      <c r="V147" s="10" cm="1">
        <f t="array" ref="V14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146)+1),6),"")</f>
        <v>0.376583</v>
      </c>
      <c r="W147" s="11">
        <f t="shared" si="8"/>
        <v>6173.977146554761</v>
      </c>
      <c r="X147" s="15"/>
      <c r="Y147" s="13">
        <f>Y139+0.02</f>
        <v>0.38497600000000004</v>
      </c>
      <c r="Z147" s="10">
        <v>31.5</v>
      </c>
      <c r="AA147" s="11">
        <v>1881606.38</v>
      </c>
      <c r="AB147" s="12"/>
    </row>
    <row r="148" spans="1:28" x14ac:dyDescent="0.25">
      <c r="A148" s="9">
        <v>110</v>
      </c>
      <c r="B148">
        <v>1.1233310000000001</v>
      </c>
      <c r="C148">
        <f t="shared" si="6"/>
        <v>103</v>
      </c>
      <c r="D148">
        <v>1.113184</v>
      </c>
      <c r="E148" s="9">
        <f t="shared" si="7"/>
        <v>100</v>
      </c>
      <c r="F148">
        <v>1.109164</v>
      </c>
      <c r="G148" s="9">
        <v>110</v>
      </c>
      <c r="H148">
        <v>1.0672489999999999</v>
      </c>
      <c r="I148">
        <v>100</v>
      </c>
      <c r="J148">
        <v>1.053199</v>
      </c>
      <c r="K148">
        <v>100</v>
      </c>
      <c r="L148">
        <v>1.048824</v>
      </c>
      <c r="M148" s="9">
        <v>110</v>
      </c>
      <c r="N148">
        <v>1.1142369999999999</v>
      </c>
      <c r="O148">
        <v>98</v>
      </c>
      <c r="P148">
        <v>1.093437</v>
      </c>
      <c r="Q148">
        <v>104</v>
      </c>
      <c r="R148">
        <v>1.103925</v>
      </c>
      <c r="V148" s="10" cm="1">
        <f t="array" ref="V14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147)+1),6),"")</f>
        <v>0.37960199999999999</v>
      </c>
      <c r="W148" s="11">
        <f t="shared" si="8"/>
        <v>6223.4728407455477</v>
      </c>
      <c r="X148" s="15"/>
      <c r="Y148" s="13"/>
      <c r="Z148" s="10"/>
      <c r="AA148" s="11"/>
      <c r="AB148" s="12"/>
    </row>
    <row r="149" spans="1:28" x14ac:dyDescent="0.25">
      <c r="A149" s="9">
        <v>109</v>
      </c>
      <c r="B149">
        <v>1.1206959999999999</v>
      </c>
      <c r="C149">
        <f t="shared" si="6"/>
        <v>102</v>
      </c>
      <c r="D149">
        <v>1.1096379999999999</v>
      </c>
      <c r="E149" s="9">
        <f t="shared" si="7"/>
        <v>99</v>
      </c>
      <c r="F149">
        <v>1.1070629999999999</v>
      </c>
      <c r="G149" s="9">
        <v>109</v>
      </c>
      <c r="H149">
        <v>1.064683</v>
      </c>
      <c r="I149">
        <v>99</v>
      </c>
      <c r="J149">
        <v>1.049866</v>
      </c>
      <c r="K149">
        <v>99</v>
      </c>
      <c r="L149">
        <v>1.0448949999999999</v>
      </c>
      <c r="M149" s="9">
        <v>109</v>
      </c>
      <c r="N149">
        <v>1.1113</v>
      </c>
      <c r="O149">
        <v>97</v>
      </c>
      <c r="P149">
        <v>1.090292</v>
      </c>
      <c r="Q149">
        <v>103</v>
      </c>
      <c r="R149">
        <v>1.1012150000000001</v>
      </c>
      <c r="V149" s="10" cm="1">
        <f t="array" ref="V14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148)+1),6),"")</f>
        <v>0.38223699999999999</v>
      </c>
      <c r="W149" s="11">
        <f t="shared" si="8"/>
        <v>6266.6729580667534</v>
      </c>
      <c r="X149" s="15"/>
      <c r="Y149" s="13"/>
      <c r="Z149" s="10"/>
      <c r="AA149" s="11"/>
      <c r="AB149" s="12"/>
    </row>
    <row r="150" spans="1:28" x14ac:dyDescent="0.25">
      <c r="A150" s="9">
        <v>108</v>
      </c>
      <c r="B150">
        <v>1.1179349999999999</v>
      </c>
      <c r="C150">
        <f t="shared" si="6"/>
        <v>101</v>
      </c>
      <c r="D150">
        <v>1.106644</v>
      </c>
      <c r="E150" s="9">
        <f t="shared" si="7"/>
        <v>98</v>
      </c>
      <c r="F150">
        <v>1.1040589999999999</v>
      </c>
      <c r="G150" s="9">
        <v>108</v>
      </c>
      <c r="H150">
        <v>1.0619810000000001</v>
      </c>
      <c r="I150">
        <v>98</v>
      </c>
      <c r="J150">
        <v>1.046673</v>
      </c>
      <c r="K150">
        <v>98</v>
      </c>
      <c r="L150">
        <v>1.042395</v>
      </c>
      <c r="M150" s="9">
        <v>108</v>
      </c>
      <c r="N150">
        <v>1.108652</v>
      </c>
      <c r="O150">
        <v>96</v>
      </c>
      <c r="P150">
        <v>1.087461</v>
      </c>
      <c r="Q150">
        <v>102</v>
      </c>
      <c r="R150">
        <v>1.098716</v>
      </c>
      <c r="V150" s="10" cm="1">
        <f t="array" ref="V15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149)+1),6),"")</f>
        <v>0.38499800000000001</v>
      </c>
      <c r="W150" s="11">
        <f t="shared" si="8"/>
        <v>6311.9388115482907</v>
      </c>
      <c r="X150" s="15"/>
      <c r="Y150" s="13"/>
      <c r="Z150" s="10"/>
      <c r="AA150" s="11"/>
      <c r="AB150" s="12"/>
    </row>
    <row r="151" spans="1:28" x14ac:dyDescent="0.25">
      <c r="A151" s="9">
        <v>107</v>
      </c>
      <c r="B151">
        <v>1.11493</v>
      </c>
      <c r="C151">
        <f t="shared" si="6"/>
        <v>100</v>
      </c>
      <c r="D151">
        <v>1.103529</v>
      </c>
      <c r="E151" s="9">
        <f t="shared" si="7"/>
        <v>97</v>
      </c>
      <c r="F151">
        <v>1.101901</v>
      </c>
      <c r="G151" s="9">
        <v>107</v>
      </c>
      <c r="H151">
        <v>1.058346</v>
      </c>
      <c r="I151">
        <v>97</v>
      </c>
      <c r="J151">
        <v>1.043955</v>
      </c>
      <c r="K151">
        <v>97</v>
      </c>
      <c r="L151">
        <v>1.0397240000000001</v>
      </c>
      <c r="M151" s="9">
        <v>107</v>
      </c>
      <c r="N151">
        <v>1.1057360000000001</v>
      </c>
      <c r="O151">
        <v>95</v>
      </c>
      <c r="P151">
        <v>1.0832619999999999</v>
      </c>
      <c r="Q151">
        <v>101</v>
      </c>
      <c r="R151">
        <v>1.0956090000000001</v>
      </c>
      <c r="V151" s="10" cm="1">
        <f t="array" ref="V15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150)+1),6),"")</f>
        <v>0.38800299999999999</v>
      </c>
      <c r="W151" s="11">
        <f t="shared" si="8"/>
        <v>6361.2049794990398</v>
      </c>
      <c r="X151" s="15"/>
      <c r="Y151" s="13"/>
      <c r="Z151" s="10"/>
      <c r="AA151" s="11"/>
      <c r="AB151" s="12"/>
    </row>
    <row r="152" spans="1:28" x14ac:dyDescent="0.25">
      <c r="A152" s="9">
        <v>106</v>
      </c>
      <c r="B152">
        <v>1.1121110000000001</v>
      </c>
      <c r="C152">
        <f t="shared" si="6"/>
        <v>99</v>
      </c>
      <c r="D152">
        <v>1.102077</v>
      </c>
      <c r="E152" s="9">
        <f t="shared" si="7"/>
        <v>96</v>
      </c>
      <c r="F152">
        <v>1.0984719999999999</v>
      </c>
      <c r="G152" s="9">
        <v>106</v>
      </c>
      <c r="H152">
        <v>1.055693</v>
      </c>
      <c r="I152">
        <v>96</v>
      </c>
      <c r="J152">
        <v>1.0408729999999999</v>
      </c>
      <c r="K152">
        <v>96</v>
      </c>
      <c r="L152">
        <v>1.0370429999999999</v>
      </c>
      <c r="M152" s="9">
        <v>106</v>
      </c>
      <c r="N152">
        <v>1.102619</v>
      </c>
      <c r="O152">
        <v>94</v>
      </c>
      <c r="P152">
        <v>1.0804240000000001</v>
      </c>
      <c r="Q152">
        <v>100</v>
      </c>
      <c r="R152">
        <v>1.092843</v>
      </c>
      <c r="V152" s="10" cm="1">
        <f t="array" ref="V15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151)+1),6),"")</f>
        <v>0.390822</v>
      </c>
      <c r="W152" s="11">
        <f t="shared" si="8"/>
        <v>6407.4217274035873</v>
      </c>
      <c r="X152" s="15"/>
      <c r="Y152" s="13"/>
      <c r="Z152" s="10"/>
      <c r="AA152" s="11"/>
      <c r="AB152" s="12"/>
    </row>
    <row r="153" spans="1:28" x14ac:dyDescent="0.25">
      <c r="A153" s="9">
        <v>105</v>
      </c>
      <c r="B153">
        <v>1.109043</v>
      </c>
      <c r="C153">
        <f t="shared" si="6"/>
        <v>98</v>
      </c>
      <c r="D153">
        <v>1.0990949999999999</v>
      </c>
      <c r="E153" s="9">
        <f t="shared" si="7"/>
        <v>95</v>
      </c>
      <c r="F153">
        <v>1.091982</v>
      </c>
      <c r="G153" s="9">
        <v>105</v>
      </c>
      <c r="H153">
        <v>1.052686</v>
      </c>
      <c r="I153">
        <v>95</v>
      </c>
      <c r="J153">
        <v>1.0389740000000001</v>
      </c>
      <c r="K153">
        <v>95</v>
      </c>
      <c r="L153">
        <v>1.032092</v>
      </c>
      <c r="M153" s="9">
        <v>105</v>
      </c>
      <c r="N153">
        <v>1.100023</v>
      </c>
      <c r="O153">
        <v>93</v>
      </c>
      <c r="P153">
        <v>1.0768</v>
      </c>
      <c r="Q153">
        <v>99</v>
      </c>
      <c r="R153">
        <v>1.089521</v>
      </c>
      <c r="V153" s="10" cm="1">
        <f t="array" ref="V15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152)+1),6),"")</f>
        <v>0.39389000000000002</v>
      </c>
      <c r="W153" s="11">
        <f t="shared" si="8"/>
        <v>6457.7207634345023</v>
      </c>
      <c r="X153" s="15"/>
      <c r="Y153" s="13"/>
      <c r="Z153" s="10"/>
      <c r="AA153" s="11"/>
      <c r="AB153" s="12"/>
    </row>
    <row r="154" spans="1:28" x14ac:dyDescent="0.25">
      <c r="A154" s="9">
        <v>104</v>
      </c>
      <c r="B154">
        <v>1.106223</v>
      </c>
      <c r="C154">
        <f t="shared" si="6"/>
        <v>97</v>
      </c>
      <c r="D154">
        <v>1.0953010000000001</v>
      </c>
      <c r="E154" s="9">
        <f t="shared" si="7"/>
        <v>94</v>
      </c>
      <c r="F154">
        <v>1.0886739999999999</v>
      </c>
      <c r="G154" s="9">
        <v>104</v>
      </c>
      <c r="H154">
        <v>1.0502180000000001</v>
      </c>
      <c r="I154">
        <v>94</v>
      </c>
      <c r="J154">
        <v>1.0359719999999999</v>
      </c>
      <c r="K154">
        <v>94</v>
      </c>
      <c r="L154">
        <v>1.029758</v>
      </c>
      <c r="M154" s="9">
        <v>104</v>
      </c>
      <c r="N154">
        <v>1.0971219999999999</v>
      </c>
      <c r="O154">
        <v>92</v>
      </c>
      <c r="P154">
        <v>1.074379</v>
      </c>
      <c r="Q154">
        <v>98</v>
      </c>
      <c r="R154">
        <v>1.086881</v>
      </c>
      <c r="V154" s="10" cm="1">
        <f t="array" ref="V15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153)+1),6),"")</f>
        <v>0.39671000000000001</v>
      </c>
      <c r="W154" s="11">
        <f t="shared" si="8"/>
        <v>6503.9539060704792</v>
      </c>
      <c r="X154" s="15"/>
      <c r="Y154" s="13">
        <f>Y147+0.02</f>
        <v>0.40497600000000006</v>
      </c>
      <c r="Z154" s="10">
        <v>31</v>
      </c>
      <c r="AA154" s="11">
        <v>1966669.19</v>
      </c>
      <c r="AB154" s="12"/>
    </row>
    <row r="155" spans="1:28" x14ac:dyDescent="0.25">
      <c r="A155" s="9">
        <v>103</v>
      </c>
      <c r="B155">
        <v>1.105394</v>
      </c>
      <c r="C155">
        <f t="shared" si="6"/>
        <v>96</v>
      </c>
      <c r="D155">
        <v>1.092525</v>
      </c>
      <c r="E155" s="9">
        <f t="shared" si="7"/>
        <v>93</v>
      </c>
      <c r="F155">
        <v>1.0864389999999999</v>
      </c>
      <c r="G155" s="9">
        <v>103</v>
      </c>
      <c r="H155">
        <v>1.0478069999999999</v>
      </c>
      <c r="I155">
        <v>93</v>
      </c>
      <c r="J155">
        <v>1.032896</v>
      </c>
      <c r="K155">
        <v>93</v>
      </c>
      <c r="L155">
        <v>1.026913</v>
      </c>
      <c r="M155" s="9">
        <v>103</v>
      </c>
      <c r="N155">
        <v>1.0950299999999999</v>
      </c>
      <c r="O155">
        <v>91</v>
      </c>
      <c r="P155">
        <v>1.071369</v>
      </c>
      <c r="Q155">
        <v>97</v>
      </c>
      <c r="R155">
        <v>1.0837509999999999</v>
      </c>
      <c r="V155" s="10" cm="1">
        <f t="array" ref="V15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154)+1),6),"")</f>
        <v>0.39753899999999998</v>
      </c>
      <c r="W155" s="11">
        <f t="shared" si="8"/>
        <v>6517.5451384269418</v>
      </c>
      <c r="X155" s="15"/>
      <c r="Y155" s="13"/>
      <c r="Z155" s="10"/>
      <c r="AA155" s="11"/>
      <c r="AB155" s="12"/>
    </row>
    <row r="156" spans="1:28" x14ac:dyDescent="0.25">
      <c r="A156" s="9">
        <v>102</v>
      </c>
      <c r="B156">
        <v>1.102222</v>
      </c>
      <c r="C156">
        <f t="shared" si="6"/>
        <v>95</v>
      </c>
      <c r="D156">
        <v>1.0887979999999999</v>
      </c>
      <c r="E156" s="9">
        <f t="shared" si="7"/>
        <v>92</v>
      </c>
      <c r="F156">
        <v>1.0831999999999999</v>
      </c>
      <c r="G156" s="9">
        <v>102</v>
      </c>
      <c r="H156">
        <v>1.0450280000000001</v>
      </c>
      <c r="I156">
        <v>92</v>
      </c>
      <c r="J156">
        <v>1.0301709999999999</v>
      </c>
      <c r="K156">
        <v>92</v>
      </c>
      <c r="L156">
        <v>1.0243070000000001</v>
      </c>
      <c r="M156" s="9">
        <v>102</v>
      </c>
      <c r="N156">
        <v>1.092025</v>
      </c>
      <c r="O156">
        <v>90</v>
      </c>
      <c r="P156">
        <v>1.068519</v>
      </c>
      <c r="Q156">
        <v>96</v>
      </c>
      <c r="R156">
        <v>1.081148</v>
      </c>
      <c r="V156" s="10" cm="1">
        <f t="array" ref="V15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155)+1),6),"")</f>
        <v>0.40071099999999998</v>
      </c>
      <c r="W156" s="11">
        <f t="shared" si="8"/>
        <v>6569.5492265267012</v>
      </c>
      <c r="X156" s="15"/>
      <c r="Y156" s="13"/>
      <c r="Z156" s="10"/>
      <c r="AA156" s="11"/>
      <c r="AB156" s="12"/>
    </row>
    <row r="157" spans="1:28" x14ac:dyDescent="0.25">
      <c r="A157" s="9">
        <v>101</v>
      </c>
      <c r="B157">
        <v>1.099542</v>
      </c>
      <c r="C157">
        <f t="shared" si="6"/>
        <v>94</v>
      </c>
      <c r="D157">
        <v>1.08575</v>
      </c>
      <c r="E157" s="9">
        <f t="shared" si="7"/>
        <v>91</v>
      </c>
      <c r="F157">
        <v>1.0816520000000001</v>
      </c>
      <c r="G157" s="9">
        <v>101</v>
      </c>
      <c r="H157">
        <v>1.04233</v>
      </c>
      <c r="I157">
        <v>91</v>
      </c>
      <c r="J157">
        <v>1.0269280000000001</v>
      </c>
      <c r="K157">
        <v>91</v>
      </c>
      <c r="L157">
        <v>1.0204390000000001</v>
      </c>
      <c r="M157" s="9">
        <v>101</v>
      </c>
      <c r="N157">
        <v>1.089302</v>
      </c>
      <c r="O157">
        <v>89</v>
      </c>
      <c r="P157">
        <v>1.065037</v>
      </c>
      <c r="Q157">
        <v>95</v>
      </c>
      <c r="R157">
        <v>1.0779300000000001</v>
      </c>
      <c r="V157" s="10" cm="1">
        <f t="array" ref="V15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156)+1),6),"")</f>
        <v>0.403391</v>
      </c>
      <c r="W157" s="11">
        <f t="shared" si="8"/>
        <v>6613.4871067623117</v>
      </c>
      <c r="X157" s="15"/>
      <c r="Y157" s="13"/>
      <c r="Z157" s="10"/>
      <c r="AA157" s="11"/>
      <c r="AB157" s="12"/>
    </row>
    <row r="158" spans="1:28" x14ac:dyDescent="0.25">
      <c r="A158" s="9">
        <v>100</v>
      </c>
      <c r="B158">
        <v>1.096338</v>
      </c>
      <c r="C158">
        <f t="shared" si="6"/>
        <v>93</v>
      </c>
      <c r="D158">
        <v>1.0824320000000001</v>
      </c>
      <c r="E158" s="9">
        <f t="shared" si="7"/>
        <v>90</v>
      </c>
      <c r="F158">
        <v>1.078311</v>
      </c>
      <c r="G158" s="9">
        <v>100</v>
      </c>
      <c r="H158">
        <v>1.03949</v>
      </c>
      <c r="I158">
        <v>90</v>
      </c>
      <c r="J158">
        <v>1.0238700000000001</v>
      </c>
      <c r="K158">
        <v>90</v>
      </c>
      <c r="L158">
        <v>1.017571</v>
      </c>
      <c r="M158" s="9">
        <v>100</v>
      </c>
      <c r="N158">
        <v>1.086411</v>
      </c>
      <c r="O158">
        <v>88</v>
      </c>
      <c r="P158">
        <v>1.062235</v>
      </c>
      <c r="Q158">
        <v>94</v>
      </c>
      <c r="R158">
        <v>1.0755189999999999</v>
      </c>
      <c r="V158" s="10" cm="1">
        <f t="array" ref="V15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157)+1),6),"")</f>
        <v>0.40659499999999998</v>
      </c>
      <c r="W158" s="11">
        <f t="shared" si="8"/>
        <v>6666.0158262678697</v>
      </c>
      <c r="X158" s="15"/>
      <c r="Y158" s="13"/>
      <c r="Z158" s="10"/>
      <c r="AA158" s="11"/>
      <c r="AB158" s="12"/>
    </row>
    <row r="159" spans="1:28" x14ac:dyDescent="0.25">
      <c r="A159" s="9">
        <v>99</v>
      </c>
      <c r="B159">
        <v>1.0933759999999999</v>
      </c>
      <c r="C159">
        <f t="shared" si="6"/>
        <v>92</v>
      </c>
      <c r="D159">
        <v>1.079156</v>
      </c>
      <c r="E159" s="9">
        <f t="shared" si="7"/>
        <v>89</v>
      </c>
      <c r="F159">
        <v>1.0757330000000001</v>
      </c>
      <c r="G159" s="9">
        <v>99</v>
      </c>
      <c r="H159">
        <v>1.0360389999999999</v>
      </c>
      <c r="I159">
        <v>89</v>
      </c>
      <c r="J159">
        <v>1.021093</v>
      </c>
      <c r="K159">
        <v>89</v>
      </c>
      <c r="L159">
        <v>1.0151239999999999</v>
      </c>
      <c r="M159" s="9">
        <v>99</v>
      </c>
      <c r="N159">
        <v>1.0833919999999999</v>
      </c>
      <c r="O159">
        <v>87</v>
      </c>
      <c r="P159">
        <v>1.059677</v>
      </c>
      <c r="Q159">
        <v>93</v>
      </c>
      <c r="R159">
        <v>1.0723469999999999</v>
      </c>
      <c r="V159" s="10" cm="1">
        <f t="array" ref="V15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158)+1),6),"")</f>
        <v>0.409557</v>
      </c>
      <c r="W159" s="11">
        <f t="shared" si="8"/>
        <v>6714.5770207670776</v>
      </c>
      <c r="X159" s="15"/>
      <c r="Y159" s="13"/>
      <c r="AB159" s="12"/>
    </row>
    <row r="160" spans="1:28" x14ac:dyDescent="0.25">
      <c r="A160" s="9">
        <v>98</v>
      </c>
      <c r="B160">
        <v>1.090441</v>
      </c>
      <c r="C160">
        <f t="shared" si="6"/>
        <v>91</v>
      </c>
      <c r="D160">
        <v>1.0777669999999999</v>
      </c>
      <c r="E160" s="9">
        <f t="shared" si="7"/>
        <v>88</v>
      </c>
      <c r="F160">
        <v>1.0726709999999999</v>
      </c>
      <c r="G160" s="9">
        <v>98</v>
      </c>
      <c r="H160">
        <v>1.0332760000000001</v>
      </c>
      <c r="I160">
        <v>88</v>
      </c>
      <c r="J160">
        <v>1.0178160000000001</v>
      </c>
      <c r="K160">
        <v>88</v>
      </c>
      <c r="L160">
        <v>1.012662</v>
      </c>
      <c r="M160" s="9">
        <v>98</v>
      </c>
      <c r="N160">
        <v>1.080487</v>
      </c>
      <c r="O160">
        <v>86</v>
      </c>
      <c r="P160">
        <v>1.056899</v>
      </c>
      <c r="Q160">
        <v>92</v>
      </c>
      <c r="R160">
        <v>1.0697289999999999</v>
      </c>
      <c r="V160" s="10" cm="1">
        <f t="array" ref="V16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159)+1),6),"")</f>
        <v>0.41249200000000003</v>
      </c>
      <c r="W160" s="11">
        <f t="shared" si="8"/>
        <v>6762.6955575176435</v>
      </c>
      <c r="X160" s="15"/>
      <c r="Y160" s="13"/>
      <c r="Z160" s="10"/>
      <c r="AA160" s="11"/>
      <c r="AB160" s="12"/>
    </row>
    <row r="161" spans="1:28" x14ac:dyDescent="0.25">
      <c r="A161" s="9">
        <v>97</v>
      </c>
      <c r="B161">
        <v>1.087642</v>
      </c>
      <c r="C161">
        <f t="shared" si="6"/>
        <v>90</v>
      </c>
      <c r="D161">
        <v>1.0747930000000001</v>
      </c>
      <c r="E161" s="9">
        <f t="shared" si="7"/>
        <v>87</v>
      </c>
      <c r="F161">
        <v>1.067914</v>
      </c>
      <c r="G161" s="9">
        <v>97</v>
      </c>
      <c r="H161">
        <v>1.030645</v>
      </c>
      <c r="I161">
        <v>87</v>
      </c>
      <c r="J161">
        <v>1.014065</v>
      </c>
      <c r="K161">
        <v>87</v>
      </c>
      <c r="L161">
        <v>1.008615</v>
      </c>
      <c r="M161" s="9">
        <v>97</v>
      </c>
      <c r="N161">
        <v>1.0777129999999999</v>
      </c>
      <c r="O161">
        <v>85</v>
      </c>
      <c r="P161">
        <v>1.05355</v>
      </c>
      <c r="Q161">
        <v>91</v>
      </c>
      <c r="R161">
        <v>1.0661510000000001</v>
      </c>
      <c r="V161" s="10" cm="1">
        <f t="array" ref="V16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160)+1),6),"")</f>
        <v>0.41529100000000002</v>
      </c>
      <c r="W161" s="11">
        <f t="shared" si="8"/>
        <v>6808.5844107935663</v>
      </c>
      <c r="X161" s="15"/>
      <c r="Y161" s="13">
        <f>Y154+0.02</f>
        <v>0.42497600000000008</v>
      </c>
      <c r="Z161" s="10">
        <v>30.5</v>
      </c>
      <c r="AA161" s="11">
        <v>2049825.53</v>
      </c>
      <c r="AB161" s="12"/>
    </row>
    <row r="162" spans="1:28" x14ac:dyDescent="0.25">
      <c r="A162" s="9">
        <v>96</v>
      </c>
      <c r="B162">
        <v>1.084665</v>
      </c>
      <c r="C162">
        <f t="shared" si="6"/>
        <v>89</v>
      </c>
      <c r="D162">
        <v>1.0712980000000001</v>
      </c>
      <c r="E162" s="9">
        <f t="shared" si="7"/>
        <v>86</v>
      </c>
      <c r="F162">
        <v>1.0643879999999999</v>
      </c>
      <c r="G162" s="9">
        <v>96</v>
      </c>
      <c r="H162">
        <v>1.0279</v>
      </c>
      <c r="I162">
        <v>86</v>
      </c>
      <c r="J162">
        <v>1.0110920000000001</v>
      </c>
      <c r="K162">
        <v>86</v>
      </c>
      <c r="L162">
        <v>1.0059579999999999</v>
      </c>
      <c r="M162" s="9">
        <v>96</v>
      </c>
      <c r="N162">
        <v>1.0747819999999999</v>
      </c>
      <c r="O162">
        <v>84</v>
      </c>
      <c r="P162">
        <v>1.0507089999999999</v>
      </c>
      <c r="Q162">
        <v>90</v>
      </c>
      <c r="R162">
        <v>1.0632820000000001</v>
      </c>
      <c r="V162" s="10" cm="1">
        <f t="array" ref="V16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161)+1),6),"")</f>
        <v>0.41826799999999997</v>
      </c>
      <c r="W162" s="11">
        <f t="shared" si="8"/>
        <v>6857.3915262642413</v>
      </c>
      <c r="X162" s="15"/>
      <c r="Y162" s="13"/>
      <c r="Z162" s="10"/>
      <c r="AA162" s="11"/>
      <c r="AB162" s="12"/>
    </row>
    <row r="163" spans="1:28" x14ac:dyDescent="0.25">
      <c r="A163" s="9">
        <v>95</v>
      </c>
      <c r="B163">
        <v>1.083083</v>
      </c>
      <c r="C163">
        <f t="shared" si="6"/>
        <v>88</v>
      </c>
      <c r="D163">
        <v>1.0682959999999999</v>
      </c>
      <c r="E163" s="9">
        <f t="shared" si="7"/>
        <v>85</v>
      </c>
      <c r="F163">
        <v>1.062414</v>
      </c>
      <c r="G163" s="9">
        <v>95</v>
      </c>
      <c r="H163">
        <v>1.024567</v>
      </c>
      <c r="I163">
        <v>85</v>
      </c>
      <c r="J163">
        <v>1.008197</v>
      </c>
      <c r="K163">
        <v>85</v>
      </c>
      <c r="L163">
        <v>1.0031410000000001</v>
      </c>
      <c r="M163" s="9">
        <v>95</v>
      </c>
      <c r="N163">
        <v>1.066287</v>
      </c>
      <c r="O163">
        <v>83</v>
      </c>
      <c r="P163">
        <v>1.0474760000000001</v>
      </c>
      <c r="Q163">
        <v>89</v>
      </c>
      <c r="R163">
        <v>1.0602339999999999</v>
      </c>
      <c r="V163" s="10" cm="1">
        <f t="array" ref="V16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162)+1),6),"")</f>
        <v>0.41985</v>
      </c>
      <c r="W163" s="11">
        <f t="shared" si="8"/>
        <v>6883.3279913883971</v>
      </c>
      <c r="X163" s="15"/>
      <c r="Y163" s="13"/>
      <c r="Z163" s="10"/>
      <c r="AA163" s="11"/>
      <c r="AB163" s="12"/>
    </row>
    <row r="164" spans="1:28" x14ac:dyDescent="0.25">
      <c r="A164" s="9">
        <v>94</v>
      </c>
      <c r="B164">
        <v>1.080133</v>
      </c>
      <c r="C164">
        <f t="shared" si="6"/>
        <v>87</v>
      </c>
      <c r="D164">
        <v>1.065361</v>
      </c>
      <c r="E164" s="9">
        <f t="shared" si="7"/>
        <v>84</v>
      </c>
      <c r="F164">
        <v>1.058926</v>
      </c>
      <c r="G164" s="9">
        <v>94</v>
      </c>
      <c r="H164">
        <v>1.0218849999999999</v>
      </c>
      <c r="I164">
        <v>84</v>
      </c>
      <c r="J164">
        <v>1.005223</v>
      </c>
      <c r="K164">
        <v>84</v>
      </c>
      <c r="L164">
        <v>1.0004459999999999</v>
      </c>
      <c r="M164" s="9">
        <v>94</v>
      </c>
      <c r="N164">
        <v>1.0633840000000001</v>
      </c>
      <c r="O164">
        <v>82</v>
      </c>
      <c r="P164">
        <v>1.044705</v>
      </c>
      <c r="Q164">
        <v>88</v>
      </c>
      <c r="R164">
        <v>1.057776</v>
      </c>
      <c r="V164" s="10" cm="1">
        <f t="array" ref="V16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163)+1),6),"")</f>
        <v>0.42280000000000001</v>
      </c>
      <c r="W164" s="11">
        <f t="shared" si="8"/>
        <v>6931.6924491104301</v>
      </c>
      <c r="X164" s="15"/>
      <c r="Y164" s="13"/>
      <c r="Z164" s="10"/>
      <c r="AA164" s="11"/>
      <c r="AB164" s="12"/>
    </row>
    <row r="165" spans="1:28" x14ac:dyDescent="0.25">
      <c r="A165" s="9">
        <v>93</v>
      </c>
      <c r="B165">
        <v>1.0775440000000001</v>
      </c>
      <c r="C165">
        <f t="shared" si="6"/>
        <v>86</v>
      </c>
      <c r="D165">
        <v>1.0625169999999999</v>
      </c>
      <c r="E165" s="9">
        <f t="shared" si="7"/>
        <v>83</v>
      </c>
      <c r="F165">
        <v>1.057191</v>
      </c>
      <c r="G165" s="9">
        <v>93</v>
      </c>
      <c r="H165">
        <v>1.019101</v>
      </c>
      <c r="I165">
        <v>83</v>
      </c>
      <c r="J165">
        <v>1.001657</v>
      </c>
      <c r="K165">
        <v>83</v>
      </c>
      <c r="L165">
        <v>0.99662600000000001</v>
      </c>
      <c r="M165" s="9">
        <v>93</v>
      </c>
      <c r="N165">
        <v>1.06063</v>
      </c>
      <c r="O165">
        <v>81</v>
      </c>
      <c r="P165">
        <v>1.0415140000000001</v>
      </c>
      <c r="Q165">
        <v>87</v>
      </c>
      <c r="R165">
        <v>1.055307</v>
      </c>
      <c r="V165" s="10" cm="1">
        <f t="array" ref="V16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164)+1),6),"")</f>
        <v>0.42538900000000002</v>
      </c>
      <c r="W165" s="11">
        <f t="shared" si="8"/>
        <v>6974.1384087858014</v>
      </c>
      <c r="X165" s="15"/>
      <c r="Y165" s="13"/>
      <c r="Z165" s="10"/>
      <c r="AA165" s="11"/>
      <c r="AB165" s="12"/>
    </row>
    <row r="166" spans="1:28" x14ac:dyDescent="0.25">
      <c r="A166" s="9">
        <v>92</v>
      </c>
      <c r="B166">
        <v>1.07439</v>
      </c>
      <c r="C166">
        <f t="shared" si="6"/>
        <v>85</v>
      </c>
      <c r="D166">
        <v>1.058905</v>
      </c>
      <c r="E166" s="9">
        <f t="shared" si="7"/>
        <v>82</v>
      </c>
      <c r="F166">
        <v>1.054092</v>
      </c>
      <c r="G166" s="9">
        <v>92</v>
      </c>
      <c r="H166">
        <v>1.0164420000000001</v>
      </c>
      <c r="I166">
        <v>82</v>
      </c>
      <c r="J166">
        <v>0.99877499999999997</v>
      </c>
      <c r="K166">
        <v>82</v>
      </c>
      <c r="L166">
        <v>0.99404700000000001</v>
      </c>
      <c r="M166" s="9">
        <v>92</v>
      </c>
      <c r="N166">
        <v>1.0576760000000001</v>
      </c>
      <c r="O166">
        <v>80</v>
      </c>
      <c r="P166">
        <v>1.038904</v>
      </c>
      <c r="Q166">
        <v>86</v>
      </c>
      <c r="R166">
        <v>1.052416</v>
      </c>
      <c r="V166" s="10" cm="1">
        <f t="array" ref="V16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165)+1),6),"")</f>
        <v>0.42854300000000001</v>
      </c>
      <c r="W166" s="11">
        <f t="shared" si="8"/>
        <v>7025.8473917197989</v>
      </c>
      <c r="X166" s="15"/>
      <c r="Y166" s="13"/>
      <c r="Z166" s="10"/>
      <c r="AA166" s="11"/>
      <c r="AB166" s="12"/>
    </row>
    <row r="167" spans="1:28" x14ac:dyDescent="0.25">
      <c r="A167" s="9">
        <v>91</v>
      </c>
      <c r="B167">
        <v>1.071332</v>
      </c>
      <c r="C167">
        <f t="shared" si="6"/>
        <v>84</v>
      </c>
      <c r="D167">
        <v>1.055947</v>
      </c>
      <c r="E167" s="9">
        <f t="shared" si="7"/>
        <v>81</v>
      </c>
      <c r="F167">
        <v>1.0517890000000001</v>
      </c>
      <c r="G167" s="9">
        <v>91</v>
      </c>
      <c r="H167">
        <v>1.0130250000000001</v>
      </c>
      <c r="I167">
        <v>81</v>
      </c>
      <c r="J167">
        <v>0.99589499999999997</v>
      </c>
      <c r="K167">
        <v>81</v>
      </c>
      <c r="L167">
        <v>0.99108700000000005</v>
      </c>
      <c r="M167" s="9">
        <v>91</v>
      </c>
      <c r="N167">
        <v>1.054602</v>
      </c>
      <c r="O167">
        <v>79</v>
      </c>
      <c r="P167">
        <v>1.0378240000000001</v>
      </c>
      <c r="Q167">
        <v>85</v>
      </c>
      <c r="R167">
        <v>1.049299</v>
      </c>
      <c r="V167" s="10" cm="1">
        <f t="array" ref="V16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166)+1),6),"")</f>
        <v>0.43160100000000001</v>
      </c>
      <c r="W167" s="11">
        <f t="shared" si="8"/>
        <v>7075.9824804364025</v>
      </c>
      <c r="X167" s="15"/>
      <c r="Y167" s="13"/>
      <c r="Z167" s="10"/>
      <c r="AA167" s="11"/>
      <c r="AB167" s="12"/>
    </row>
    <row r="168" spans="1:28" x14ac:dyDescent="0.25">
      <c r="A168" s="9">
        <v>90</v>
      </c>
      <c r="B168">
        <v>1.0681309999999999</v>
      </c>
      <c r="C168">
        <f t="shared" si="6"/>
        <v>83</v>
      </c>
      <c r="D168">
        <v>1.0545549999999999</v>
      </c>
      <c r="E168" s="9">
        <f t="shared" si="7"/>
        <v>80</v>
      </c>
      <c r="F168">
        <v>1.0484789999999999</v>
      </c>
      <c r="G168" s="9">
        <v>90</v>
      </c>
      <c r="H168">
        <v>1.010051</v>
      </c>
      <c r="I168">
        <v>80</v>
      </c>
      <c r="J168">
        <v>0.99300200000000005</v>
      </c>
      <c r="K168">
        <v>80</v>
      </c>
      <c r="L168">
        <v>0.98841900000000005</v>
      </c>
      <c r="M168" s="9">
        <v>90</v>
      </c>
      <c r="N168">
        <v>1.0520370000000001</v>
      </c>
      <c r="O168">
        <v>78</v>
      </c>
      <c r="P168">
        <v>1.0347660000000001</v>
      </c>
      <c r="Q168">
        <v>84</v>
      </c>
      <c r="R168">
        <v>1.0468949999999999</v>
      </c>
      <c r="V168" s="10" cm="1">
        <f t="array" ref="V16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167)+1),6),"")</f>
        <v>0.43480200000000002</v>
      </c>
      <c r="W168" s="11">
        <f t="shared" si="8"/>
        <v>7128.4620157476666</v>
      </c>
      <c r="X168" s="15"/>
      <c r="Y168" s="13"/>
      <c r="Z168" s="10"/>
      <c r="AA168" s="11"/>
      <c r="AB168" s="12"/>
    </row>
    <row r="169" spans="1:28" x14ac:dyDescent="0.25">
      <c r="A169" s="9">
        <v>89</v>
      </c>
      <c r="B169">
        <v>1.0655589999999999</v>
      </c>
      <c r="C169">
        <f t="shared" si="6"/>
        <v>82</v>
      </c>
      <c r="D169">
        <v>1.051282</v>
      </c>
      <c r="E169" s="9">
        <f t="shared" si="7"/>
        <v>79</v>
      </c>
      <c r="F169">
        <v>1.0460389999999999</v>
      </c>
      <c r="G169" s="9">
        <v>89</v>
      </c>
      <c r="H169">
        <v>1.007487</v>
      </c>
      <c r="I169">
        <v>79</v>
      </c>
      <c r="J169">
        <v>0.99397100000000005</v>
      </c>
      <c r="K169">
        <v>79</v>
      </c>
      <c r="L169">
        <v>0.98782199999999998</v>
      </c>
      <c r="M169" s="9">
        <v>89</v>
      </c>
      <c r="N169">
        <v>1.049086</v>
      </c>
      <c r="O169">
        <v>77</v>
      </c>
      <c r="P169">
        <v>1.0317160000000001</v>
      </c>
      <c r="Q169">
        <v>83</v>
      </c>
      <c r="R169">
        <v>1.0432159999999999</v>
      </c>
      <c r="V169" s="10" cm="1">
        <f t="array" ref="V16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168)+1),6),"")</f>
        <v>0.43737399999999999</v>
      </c>
      <c r="W169" s="11">
        <f t="shared" si="8"/>
        <v>7170.6292649887064</v>
      </c>
      <c r="X169" s="15"/>
      <c r="Y169" s="13"/>
      <c r="Z169" s="10"/>
      <c r="AA169" s="11"/>
      <c r="AB169" s="12"/>
    </row>
    <row r="170" spans="1:28" x14ac:dyDescent="0.25">
      <c r="A170" s="9">
        <v>88</v>
      </c>
      <c r="B170">
        <v>1.062535</v>
      </c>
      <c r="C170">
        <f t="shared" si="6"/>
        <v>81</v>
      </c>
      <c r="D170">
        <v>1.048249</v>
      </c>
      <c r="E170" s="9">
        <f t="shared" si="7"/>
        <v>78</v>
      </c>
      <c r="F170">
        <v>1.0427900000000001</v>
      </c>
      <c r="G170" s="9">
        <v>88</v>
      </c>
      <c r="H170">
        <v>1.004664</v>
      </c>
      <c r="I170">
        <v>78</v>
      </c>
      <c r="J170">
        <v>0.99078999999999995</v>
      </c>
      <c r="K170">
        <v>78</v>
      </c>
      <c r="L170">
        <v>0.98517100000000002</v>
      </c>
      <c r="M170" s="9">
        <v>88</v>
      </c>
      <c r="N170">
        <v>1.0463830000000001</v>
      </c>
      <c r="O170">
        <v>76</v>
      </c>
      <c r="P170">
        <v>1.02902</v>
      </c>
      <c r="Q170">
        <v>82</v>
      </c>
      <c r="R170">
        <v>1.0405930000000001</v>
      </c>
      <c r="V170" s="10" cm="1">
        <f t="array" ref="V17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169)+1),6),"")</f>
        <v>0.44039800000000001</v>
      </c>
      <c r="W170" s="11">
        <f t="shared" si="8"/>
        <v>7220.2069328366488</v>
      </c>
      <c r="X170" s="15"/>
      <c r="Y170" s="13"/>
      <c r="Z170" s="10"/>
      <c r="AA170" s="11"/>
      <c r="AB170" s="12"/>
    </row>
    <row r="171" spans="1:28" x14ac:dyDescent="0.25">
      <c r="A171" s="9">
        <v>87</v>
      </c>
      <c r="B171">
        <v>1.06145</v>
      </c>
      <c r="C171">
        <f t="shared" si="6"/>
        <v>80</v>
      </c>
      <c r="D171">
        <v>1.044902</v>
      </c>
      <c r="E171" s="9">
        <f t="shared" si="7"/>
        <v>77</v>
      </c>
      <c r="F171">
        <v>1.040616</v>
      </c>
      <c r="G171" s="9">
        <v>87</v>
      </c>
      <c r="H171">
        <v>1.0021869999999999</v>
      </c>
      <c r="I171">
        <v>77</v>
      </c>
      <c r="J171">
        <v>0.98797900000000005</v>
      </c>
      <c r="K171">
        <v>77</v>
      </c>
      <c r="L171">
        <v>0.98230799999999996</v>
      </c>
      <c r="M171" s="9">
        <v>87</v>
      </c>
      <c r="N171">
        <v>1.0439430000000001</v>
      </c>
      <c r="O171">
        <v>75</v>
      </c>
      <c r="P171">
        <v>1.0258370000000001</v>
      </c>
      <c r="Q171">
        <v>81</v>
      </c>
      <c r="R171">
        <v>1.0376339999999999</v>
      </c>
      <c r="V171" s="10" cm="1">
        <f t="array" ref="V17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170)+1),6),"")</f>
        <v>0.44148300000000001</v>
      </c>
      <c r="W171" s="11">
        <f t="shared" si="8"/>
        <v>7237.995216439499</v>
      </c>
      <c r="X171" s="15"/>
      <c r="Y171" s="13"/>
      <c r="Z171" s="10"/>
      <c r="AA171" s="11"/>
      <c r="AB171" s="12"/>
    </row>
    <row r="172" spans="1:28" x14ac:dyDescent="0.25">
      <c r="A172" s="9">
        <v>86</v>
      </c>
      <c r="B172">
        <v>1.058678</v>
      </c>
      <c r="C172">
        <f t="shared" si="6"/>
        <v>79</v>
      </c>
      <c r="D172">
        <v>1.043841</v>
      </c>
      <c r="E172" s="9">
        <f t="shared" si="7"/>
        <v>76</v>
      </c>
      <c r="F172">
        <v>1.0372539999999999</v>
      </c>
      <c r="G172" s="9">
        <v>86</v>
      </c>
      <c r="H172">
        <v>0.99940399999999996</v>
      </c>
      <c r="I172">
        <v>76</v>
      </c>
      <c r="J172">
        <v>0.98491300000000004</v>
      </c>
      <c r="K172">
        <v>76</v>
      </c>
      <c r="L172">
        <v>0.97967000000000004</v>
      </c>
      <c r="M172" s="9">
        <v>86</v>
      </c>
      <c r="N172">
        <v>1.040856</v>
      </c>
      <c r="O172">
        <v>74</v>
      </c>
      <c r="P172">
        <v>1.0230189999999999</v>
      </c>
      <c r="Q172">
        <v>80</v>
      </c>
      <c r="R172">
        <v>1.034505</v>
      </c>
      <c r="V172" s="10" cm="1">
        <f t="array" ref="V17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171)+1),6),"")</f>
        <v>0.44425500000000001</v>
      </c>
      <c r="W172" s="11">
        <f t="shared" si="8"/>
        <v>7283.441411966779</v>
      </c>
      <c r="X172" s="15"/>
      <c r="Y172" s="13"/>
      <c r="Z172" s="10"/>
      <c r="AA172" s="11"/>
      <c r="AB172" s="12"/>
    </row>
    <row r="173" spans="1:28" x14ac:dyDescent="0.25">
      <c r="A173" s="9">
        <v>85</v>
      </c>
      <c r="B173">
        <v>1.0556270000000001</v>
      </c>
      <c r="C173">
        <f t="shared" si="6"/>
        <v>78</v>
      </c>
      <c r="D173">
        <v>1.040818</v>
      </c>
      <c r="E173" s="9">
        <f t="shared" si="7"/>
        <v>75</v>
      </c>
      <c r="F173">
        <v>1.0355890000000001</v>
      </c>
      <c r="G173" s="9">
        <v>85</v>
      </c>
      <c r="H173">
        <v>0.996421</v>
      </c>
      <c r="I173">
        <v>75</v>
      </c>
      <c r="J173">
        <v>0.98147499999999999</v>
      </c>
      <c r="K173">
        <v>75</v>
      </c>
      <c r="L173">
        <v>0.97558299999999998</v>
      </c>
      <c r="M173" s="9">
        <v>85</v>
      </c>
      <c r="N173">
        <v>1.038254</v>
      </c>
      <c r="O173">
        <v>73</v>
      </c>
      <c r="P173">
        <v>1.019682</v>
      </c>
      <c r="Q173">
        <v>79</v>
      </c>
      <c r="R173">
        <v>1.0319389999999999</v>
      </c>
      <c r="V173" s="10" cm="1">
        <f t="array" ref="V17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172)+1),6),"")</f>
        <v>0.44730599999999998</v>
      </c>
      <c r="W173" s="11">
        <f t="shared" si="8"/>
        <v>7333.4617375633634</v>
      </c>
      <c r="X173" s="15"/>
      <c r="Y173" s="13"/>
      <c r="Z173" s="10"/>
      <c r="AA173" s="11"/>
      <c r="AB173" s="12"/>
    </row>
    <row r="174" spans="1:28" x14ac:dyDescent="0.25">
      <c r="A174" s="9">
        <v>84</v>
      </c>
      <c r="B174">
        <v>1.0530379999999999</v>
      </c>
      <c r="C174">
        <f t="shared" si="6"/>
        <v>77</v>
      </c>
      <c r="D174">
        <v>1.0369900000000001</v>
      </c>
      <c r="E174" s="9">
        <f t="shared" si="7"/>
        <v>74</v>
      </c>
      <c r="F174">
        <v>1.03186</v>
      </c>
      <c r="G174" s="9">
        <v>84</v>
      </c>
      <c r="H174">
        <v>0.99384499999999998</v>
      </c>
      <c r="I174">
        <v>74</v>
      </c>
      <c r="J174">
        <v>0.97846500000000003</v>
      </c>
      <c r="K174">
        <v>74</v>
      </c>
      <c r="L174">
        <v>0.97311899999999996</v>
      </c>
      <c r="M174" s="9">
        <v>84</v>
      </c>
      <c r="N174">
        <v>1.035488</v>
      </c>
      <c r="O174">
        <v>72</v>
      </c>
      <c r="P174">
        <v>1.0167390000000001</v>
      </c>
      <c r="Q174">
        <v>78</v>
      </c>
      <c r="R174">
        <v>1.029361</v>
      </c>
      <c r="V174" s="10" cm="1">
        <f t="array" ref="V17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173)+1),6),"")</f>
        <v>0.44989499999999999</v>
      </c>
      <c r="W174" s="11">
        <f t="shared" si="8"/>
        <v>7375.9076972387347</v>
      </c>
      <c r="X174" s="15"/>
      <c r="Y174" s="13"/>
      <c r="Z174" s="10"/>
      <c r="AA174" s="11"/>
      <c r="AB174" s="12"/>
    </row>
    <row r="175" spans="1:28" x14ac:dyDescent="0.25">
      <c r="A175" s="9">
        <v>83</v>
      </c>
      <c r="B175">
        <v>1.0496909999999999</v>
      </c>
      <c r="C175">
        <f t="shared" si="6"/>
        <v>76</v>
      </c>
      <c r="D175">
        <v>1.034084</v>
      </c>
      <c r="E175" s="9">
        <f t="shared" si="7"/>
        <v>73</v>
      </c>
      <c r="F175">
        <v>1.029952</v>
      </c>
      <c r="G175" s="9">
        <v>83</v>
      </c>
      <c r="H175">
        <v>0.99034900000000003</v>
      </c>
      <c r="I175">
        <v>73</v>
      </c>
      <c r="J175">
        <v>0.97536100000000003</v>
      </c>
      <c r="K175">
        <v>73</v>
      </c>
      <c r="L175">
        <v>0.97034299999999996</v>
      </c>
      <c r="M175" s="9">
        <v>83</v>
      </c>
      <c r="N175">
        <v>1.0324549999999999</v>
      </c>
      <c r="O175">
        <v>71</v>
      </c>
      <c r="P175">
        <v>1.014127</v>
      </c>
      <c r="Q175">
        <v>77</v>
      </c>
      <c r="R175">
        <v>1.0262</v>
      </c>
      <c r="V175" s="10" cm="1">
        <f t="array" ref="V17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174)+1),6),"")</f>
        <v>0.45324199999999998</v>
      </c>
      <c r="W175" s="11">
        <f t="shared" si="8"/>
        <v>7430.7808633389532</v>
      </c>
      <c r="X175" s="15"/>
      <c r="Y175" s="13"/>
      <c r="Z175" s="10"/>
      <c r="AA175" s="11"/>
      <c r="AB175" s="12"/>
    </row>
    <row r="176" spans="1:28" x14ac:dyDescent="0.25">
      <c r="A176" s="9">
        <v>82</v>
      </c>
      <c r="B176">
        <v>1.0469660000000001</v>
      </c>
      <c r="C176">
        <f t="shared" si="6"/>
        <v>75</v>
      </c>
      <c r="D176">
        <v>1.0327569999999999</v>
      </c>
      <c r="E176" s="9">
        <f t="shared" si="7"/>
        <v>72</v>
      </c>
      <c r="F176">
        <v>1.0267170000000001</v>
      </c>
      <c r="G176" s="9">
        <v>82</v>
      </c>
      <c r="H176">
        <v>0.98746800000000001</v>
      </c>
      <c r="I176">
        <v>72</v>
      </c>
      <c r="J176">
        <v>0.97261699999999995</v>
      </c>
      <c r="K176">
        <v>72</v>
      </c>
      <c r="L176">
        <v>0.967754</v>
      </c>
      <c r="M176" s="9">
        <v>82</v>
      </c>
      <c r="N176">
        <v>1.0295829999999999</v>
      </c>
      <c r="O176">
        <v>70</v>
      </c>
      <c r="P176">
        <v>1.0113890000000001</v>
      </c>
      <c r="Q176">
        <v>76</v>
      </c>
      <c r="R176">
        <v>1.0237989999999999</v>
      </c>
      <c r="V176" s="10" cm="1">
        <f t="array" ref="V17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175)+1),6),"")</f>
        <v>0.45596700000000001</v>
      </c>
      <c r="W176" s="11">
        <f t="shared" si="8"/>
        <v>7475.4565064889675</v>
      </c>
      <c r="X176" s="15"/>
      <c r="Y176" s="13"/>
      <c r="Z176" s="10"/>
      <c r="AA176" s="11"/>
      <c r="AB176" s="12"/>
    </row>
    <row r="177" spans="1:28" x14ac:dyDescent="0.25">
      <c r="A177" s="9">
        <v>81</v>
      </c>
      <c r="B177">
        <v>1.0441860000000001</v>
      </c>
      <c r="C177">
        <f t="shared" si="6"/>
        <v>74</v>
      </c>
      <c r="D177">
        <v>1.029792</v>
      </c>
      <c r="E177" s="9">
        <f t="shared" si="7"/>
        <v>71</v>
      </c>
      <c r="F177">
        <v>1.0216890000000001</v>
      </c>
      <c r="G177" s="9">
        <v>81</v>
      </c>
      <c r="H177">
        <v>0.98459399999999997</v>
      </c>
      <c r="I177">
        <v>71</v>
      </c>
      <c r="J177">
        <v>0.96860800000000002</v>
      </c>
      <c r="K177">
        <v>71</v>
      </c>
      <c r="L177">
        <v>0.96368200000000004</v>
      </c>
      <c r="M177" s="9">
        <v>81</v>
      </c>
      <c r="N177">
        <v>1.026602</v>
      </c>
      <c r="O177">
        <v>69</v>
      </c>
      <c r="P177">
        <v>1.0079899999999999</v>
      </c>
      <c r="Q177">
        <v>75</v>
      </c>
      <c r="R177">
        <v>1.0198430000000001</v>
      </c>
      <c r="V177" s="10" cm="1">
        <f t="array" ref="V17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176)+1),6),"")</f>
        <v>0.45874700000000002</v>
      </c>
      <c r="W177" s="11">
        <f t="shared" si="8"/>
        <v>7521.0338598676981</v>
      </c>
      <c r="X177" s="15"/>
      <c r="Y177" s="13"/>
      <c r="Z177" s="10"/>
      <c r="AA177" s="11"/>
      <c r="AB177" s="12"/>
    </row>
    <row r="178" spans="1:28" x14ac:dyDescent="0.25">
      <c r="A178" s="9">
        <v>80</v>
      </c>
      <c r="B178">
        <v>1.041085</v>
      </c>
      <c r="C178">
        <f t="shared" si="6"/>
        <v>73</v>
      </c>
      <c r="D178">
        <v>1.0262739999999999</v>
      </c>
      <c r="E178" s="9">
        <f t="shared" si="7"/>
        <v>70</v>
      </c>
      <c r="F178">
        <v>1.0186539999999999</v>
      </c>
      <c r="G178" s="9">
        <v>80</v>
      </c>
      <c r="H178">
        <v>0.98179000000000005</v>
      </c>
      <c r="I178">
        <v>70</v>
      </c>
      <c r="J178">
        <v>0.96565699999999999</v>
      </c>
      <c r="K178">
        <v>70</v>
      </c>
      <c r="L178">
        <v>0.96083799999999997</v>
      </c>
      <c r="M178" s="9">
        <v>80</v>
      </c>
      <c r="N178">
        <v>1.0238590000000001</v>
      </c>
      <c r="O178">
        <v>68</v>
      </c>
      <c r="P178">
        <v>1.005139</v>
      </c>
      <c r="Q178">
        <v>74</v>
      </c>
      <c r="R178">
        <v>1.017423</v>
      </c>
      <c r="V178" s="10" cm="1">
        <f t="array" ref="V17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177)+1),6),"")</f>
        <v>0.46184799999999998</v>
      </c>
      <c r="W178" s="11">
        <f t="shared" si="8"/>
        <v>7571.8739220358411</v>
      </c>
      <c r="X178" s="15"/>
      <c r="Y178" s="13"/>
      <c r="Z178" s="10"/>
      <c r="AA178" s="11"/>
      <c r="AB178" s="12"/>
    </row>
    <row r="179" spans="1:28" x14ac:dyDescent="0.25">
      <c r="A179" s="9">
        <v>79</v>
      </c>
      <c r="B179">
        <v>1.0367029999999999</v>
      </c>
      <c r="C179">
        <f t="shared" si="6"/>
        <v>72</v>
      </c>
      <c r="D179">
        <v>1.022896</v>
      </c>
      <c r="E179" s="9">
        <f t="shared" si="7"/>
        <v>69</v>
      </c>
      <c r="F179">
        <v>1.015841</v>
      </c>
      <c r="G179" s="9">
        <v>79</v>
      </c>
      <c r="H179">
        <v>0.97993399999999997</v>
      </c>
      <c r="I179">
        <v>69</v>
      </c>
      <c r="J179">
        <v>0.96274700000000002</v>
      </c>
      <c r="K179">
        <v>69</v>
      </c>
      <c r="L179">
        <v>0.95821000000000001</v>
      </c>
      <c r="M179" s="9">
        <v>79</v>
      </c>
      <c r="N179">
        <v>1.0232920000000001</v>
      </c>
      <c r="O179">
        <v>67</v>
      </c>
      <c r="P179">
        <v>1.001849</v>
      </c>
      <c r="Q179">
        <v>73</v>
      </c>
      <c r="R179">
        <v>1.014216</v>
      </c>
      <c r="V179" s="10" cm="1">
        <f t="array" ref="V17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178)+1),6),"")</f>
        <v>0.46622999999999998</v>
      </c>
      <c r="W179" s="11">
        <f t="shared" si="8"/>
        <v>7643.7156351673502</v>
      </c>
      <c r="X179" s="15"/>
      <c r="Y179" s="13"/>
      <c r="Z179" s="10"/>
      <c r="AA179" s="11"/>
      <c r="AB179" s="12"/>
    </row>
    <row r="180" spans="1:28" x14ac:dyDescent="0.25">
      <c r="A180" s="9">
        <v>78</v>
      </c>
      <c r="B180">
        <v>1.0338000000000001</v>
      </c>
      <c r="C180">
        <f t="shared" si="6"/>
        <v>71</v>
      </c>
      <c r="D180">
        <v>1.020472</v>
      </c>
      <c r="E180" s="9">
        <f t="shared" si="7"/>
        <v>68</v>
      </c>
      <c r="F180">
        <v>1.012842</v>
      </c>
      <c r="G180" s="9">
        <v>78</v>
      </c>
      <c r="H180">
        <v>0.97719599999999995</v>
      </c>
      <c r="I180">
        <v>68</v>
      </c>
      <c r="J180">
        <v>0.959476</v>
      </c>
      <c r="K180">
        <v>68</v>
      </c>
      <c r="L180">
        <v>0.95548699999999998</v>
      </c>
      <c r="M180" s="9">
        <v>78</v>
      </c>
      <c r="N180">
        <v>1.0204420000000001</v>
      </c>
      <c r="O180">
        <v>66</v>
      </c>
      <c r="P180">
        <v>0.99927699999999997</v>
      </c>
      <c r="Q180">
        <v>72</v>
      </c>
      <c r="R180">
        <v>1.011628</v>
      </c>
      <c r="V180" s="10" cm="1">
        <f t="array" ref="V18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179)+1),6),"")</f>
        <v>0.46913300000000002</v>
      </c>
      <c r="W180" s="11">
        <f t="shared" si="8"/>
        <v>7691.3095405121185</v>
      </c>
      <c r="X180" s="15"/>
      <c r="Y180" s="13"/>
      <c r="Z180" s="10"/>
      <c r="AA180" s="11"/>
      <c r="AB180" s="12"/>
    </row>
    <row r="181" spans="1:28" x14ac:dyDescent="0.25">
      <c r="A181" s="9">
        <v>77</v>
      </c>
      <c r="B181">
        <v>1.031312</v>
      </c>
      <c r="C181">
        <f t="shared" si="6"/>
        <v>70</v>
      </c>
      <c r="D181">
        <v>1.01742</v>
      </c>
      <c r="E181" s="9">
        <f t="shared" si="7"/>
        <v>67</v>
      </c>
      <c r="F181">
        <v>1.011023</v>
      </c>
      <c r="G181" s="9">
        <v>77</v>
      </c>
      <c r="H181">
        <v>0.97440499999999997</v>
      </c>
      <c r="I181">
        <v>67</v>
      </c>
      <c r="J181">
        <v>0.95629299999999995</v>
      </c>
      <c r="K181">
        <v>67</v>
      </c>
      <c r="L181">
        <v>0.95155000000000001</v>
      </c>
      <c r="M181" s="9">
        <v>77</v>
      </c>
      <c r="N181">
        <v>1.0176460000000001</v>
      </c>
      <c r="O181">
        <v>65</v>
      </c>
      <c r="P181">
        <v>0.99567799999999995</v>
      </c>
      <c r="Q181">
        <v>71</v>
      </c>
      <c r="R181">
        <v>1.0087269999999999</v>
      </c>
      <c r="V181" s="10" cm="1">
        <f t="array" ref="V18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180)+1),6),"")</f>
        <v>0.47162100000000001</v>
      </c>
      <c r="W181" s="11">
        <f t="shared" si="8"/>
        <v>7732.0996323129384</v>
      </c>
      <c r="X181" s="15"/>
      <c r="Y181" s="13"/>
      <c r="Z181" s="10"/>
      <c r="AA181" s="11"/>
      <c r="AB181" s="12"/>
    </row>
    <row r="182" spans="1:28" x14ac:dyDescent="0.25">
      <c r="A182" s="9">
        <v>76</v>
      </c>
      <c r="B182">
        <v>1.0282519999999999</v>
      </c>
      <c r="C182">
        <f t="shared" si="6"/>
        <v>69</v>
      </c>
      <c r="D182">
        <v>1.013806</v>
      </c>
      <c r="E182" s="9">
        <f t="shared" si="7"/>
        <v>66</v>
      </c>
      <c r="F182">
        <v>1.007771</v>
      </c>
      <c r="G182" s="9">
        <v>76</v>
      </c>
      <c r="H182">
        <v>0.97171399999999997</v>
      </c>
      <c r="I182">
        <v>66</v>
      </c>
      <c r="J182">
        <v>0.95331699999999997</v>
      </c>
      <c r="K182">
        <v>66</v>
      </c>
      <c r="L182">
        <v>0.94895499999999999</v>
      </c>
      <c r="M182" s="9">
        <v>76</v>
      </c>
      <c r="N182">
        <v>1.0144120000000001</v>
      </c>
      <c r="O182">
        <v>64</v>
      </c>
      <c r="P182">
        <v>0.99292499999999995</v>
      </c>
      <c r="Q182">
        <v>70</v>
      </c>
      <c r="R182">
        <v>1.0060309999999999</v>
      </c>
      <c r="V182" s="10" cm="1">
        <f t="array" ref="V18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181)+1),6),"")</f>
        <v>0.47468100000000002</v>
      </c>
      <c r="W182" s="11">
        <f t="shared" si="8"/>
        <v>7782.2675104924037</v>
      </c>
      <c r="X182" s="15"/>
      <c r="Y182" s="13"/>
      <c r="Z182" s="10"/>
      <c r="AA182" s="11"/>
      <c r="AB182" s="12"/>
    </row>
    <row r="183" spans="1:28" x14ac:dyDescent="0.25">
      <c r="A183" s="9">
        <v>75</v>
      </c>
      <c r="B183">
        <v>1.0249790000000001</v>
      </c>
      <c r="C183">
        <f t="shared" si="6"/>
        <v>68</v>
      </c>
      <c r="D183">
        <v>1.0107600000000001</v>
      </c>
      <c r="E183" s="9">
        <f t="shared" si="7"/>
        <v>65</v>
      </c>
      <c r="F183">
        <v>1.0055590000000001</v>
      </c>
      <c r="G183" s="9">
        <v>75</v>
      </c>
      <c r="H183">
        <v>0.96798300000000004</v>
      </c>
      <c r="I183">
        <v>65</v>
      </c>
      <c r="J183">
        <v>0.95035599999999998</v>
      </c>
      <c r="K183">
        <v>65</v>
      </c>
      <c r="L183">
        <v>0.94602299999999995</v>
      </c>
      <c r="M183" s="9">
        <v>75</v>
      </c>
      <c r="N183">
        <v>1.0117700000000001</v>
      </c>
      <c r="O183">
        <v>63</v>
      </c>
      <c r="P183">
        <v>0.99379899999999999</v>
      </c>
      <c r="Q183">
        <v>69</v>
      </c>
      <c r="R183">
        <v>1.0030779999999999</v>
      </c>
      <c r="V183" s="10" cm="1">
        <f t="array" ref="V18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182)+1),6),"")</f>
        <v>0.47795399999999999</v>
      </c>
      <c r="W183" s="11">
        <f t="shared" si="8"/>
        <v>7835.9274664667137</v>
      </c>
      <c r="X183" s="15"/>
      <c r="Y183" s="13"/>
      <c r="Z183" s="10"/>
      <c r="AA183" s="11"/>
      <c r="AB183" s="12"/>
    </row>
    <row r="184" spans="1:28" x14ac:dyDescent="0.25">
      <c r="A184" s="9">
        <v>74</v>
      </c>
      <c r="B184">
        <v>1.022176</v>
      </c>
      <c r="C184">
        <f t="shared" si="6"/>
        <v>67</v>
      </c>
      <c r="D184">
        <v>1.0093939999999999</v>
      </c>
      <c r="E184" s="9">
        <f t="shared" si="7"/>
        <v>64</v>
      </c>
      <c r="F184">
        <v>1.0020929999999999</v>
      </c>
      <c r="G184" s="9">
        <v>74</v>
      </c>
      <c r="H184">
        <v>0.96546799999999999</v>
      </c>
      <c r="I184">
        <v>64</v>
      </c>
      <c r="J184">
        <v>0.94731200000000004</v>
      </c>
      <c r="K184">
        <v>64</v>
      </c>
      <c r="L184">
        <v>0.94351099999999999</v>
      </c>
      <c r="M184" s="9">
        <v>74</v>
      </c>
      <c r="N184">
        <v>1.0087600000000001</v>
      </c>
      <c r="O184">
        <v>62</v>
      </c>
      <c r="P184">
        <v>0.99074700000000004</v>
      </c>
      <c r="Q184">
        <v>68</v>
      </c>
      <c r="R184">
        <v>1.0004999999999999</v>
      </c>
      <c r="V184" s="10" cm="1">
        <f t="array" ref="V18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183)+1),6),"")</f>
        <v>0.48075699999999999</v>
      </c>
      <c r="W184" s="11">
        <f t="shared" si="8"/>
        <v>7881.8818986683609</v>
      </c>
      <c r="X184" s="15"/>
      <c r="Y184" s="13"/>
      <c r="Z184" s="10"/>
      <c r="AA184" s="11"/>
      <c r="AB184" s="12"/>
    </row>
    <row r="185" spans="1:28" x14ac:dyDescent="0.25">
      <c r="A185" s="9">
        <v>73</v>
      </c>
      <c r="B185">
        <v>1.0194190000000001</v>
      </c>
      <c r="C185">
        <f t="shared" si="6"/>
        <v>66</v>
      </c>
      <c r="D185">
        <v>1.0064070000000001</v>
      </c>
      <c r="E185" s="9">
        <f t="shared" si="7"/>
        <v>63</v>
      </c>
      <c r="F185">
        <v>1.007795</v>
      </c>
      <c r="G185" s="9">
        <v>73</v>
      </c>
      <c r="H185">
        <v>0.962584</v>
      </c>
      <c r="I185">
        <v>63</v>
      </c>
      <c r="J185">
        <v>0.95514200000000005</v>
      </c>
      <c r="K185">
        <v>63</v>
      </c>
      <c r="L185">
        <v>0.94607300000000005</v>
      </c>
      <c r="M185" s="9">
        <v>73</v>
      </c>
      <c r="N185">
        <v>1.006159</v>
      </c>
      <c r="O185">
        <v>61</v>
      </c>
      <c r="P185">
        <v>0.98754900000000001</v>
      </c>
      <c r="Q185">
        <v>67</v>
      </c>
      <c r="R185">
        <v>0.99668699999999999</v>
      </c>
      <c r="V185" s="10" cm="1">
        <f t="array" ref="V18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184)+1),6),"")</f>
        <v>0.483514</v>
      </c>
      <c r="W185" s="11">
        <f t="shared" si="8"/>
        <v>7927.0821732241729</v>
      </c>
      <c r="X185" s="15"/>
      <c r="Y185" s="13"/>
      <c r="Z185" s="10"/>
      <c r="AA185" s="11"/>
      <c r="AB185" s="12"/>
    </row>
    <row r="186" spans="1:28" x14ac:dyDescent="0.25">
      <c r="A186" s="9">
        <v>72</v>
      </c>
      <c r="B186">
        <v>1.0163979999999999</v>
      </c>
      <c r="C186">
        <f t="shared" si="6"/>
        <v>65</v>
      </c>
      <c r="D186">
        <v>1.002829</v>
      </c>
      <c r="E186" s="9">
        <f t="shared" si="7"/>
        <v>62</v>
      </c>
      <c r="F186">
        <v>1.0043120000000001</v>
      </c>
      <c r="G186" s="9">
        <v>72</v>
      </c>
      <c r="H186">
        <v>0.95979099999999995</v>
      </c>
      <c r="I186">
        <v>62</v>
      </c>
      <c r="J186">
        <v>0.952349</v>
      </c>
      <c r="K186">
        <v>62</v>
      </c>
      <c r="L186">
        <v>0.94348600000000005</v>
      </c>
      <c r="M186" s="9">
        <v>72</v>
      </c>
      <c r="N186">
        <v>1.003171</v>
      </c>
      <c r="O186">
        <v>60</v>
      </c>
      <c r="P186">
        <v>0.98467800000000005</v>
      </c>
      <c r="Q186">
        <v>66</v>
      </c>
      <c r="R186">
        <v>0.99401200000000001</v>
      </c>
      <c r="V186" s="10" cm="1">
        <f t="array" ref="V18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185)+1),6),"")</f>
        <v>0.486535</v>
      </c>
      <c r="W186" s="11">
        <f t="shared" si="8"/>
        <v>7976.6106568778223</v>
      </c>
      <c r="X186" s="15"/>
      <c r="Y186" s="13"/>
      <c r="Z186" s="10"/>
      <c r="AA186" s="11"/>
      <c r="AB186" s="12"/>
    </row>
    <row r="187" spans="1:28" x14ac:dyDescent="0.25">
      <c r="A187" s="9">
        <v>71</v>
      </c>
      <c r="B187">
        <v>1.0154730000000001</v>
      </c>
      <c r="C187">
        <f t="shared" si="6"/>
        <v>64</v>
      </c>
      <c r="D187">
        <v>0.99962200000000001</v>
      </c>
      <c r="E187" s="9">
        <f t="shared" si="7"/>
        <v>61</v>
      </c>
      <c r="F187">
        <v>1.0019119999999999</v>
      </c>
      <c r="G187" s="9">
        <v>71</v>
      </c>
      <c r="H187">
        <v>0.95740599999999998</v>
      </c>
      <c r="I187">
        <v>61</v>
      </c>
      <c r="J187">
        <v>0.94947899999999996</v>
      </c>
      <c r="K187">
        <v>61</v>
      </c>
      <c r="L187">
        <v>0.94062100000000004</v>
      </c>
      <c r="M187" s="9">
        <v>71</v>
      </c>
      <c r="N187">
        <v>1.000575</v>
      </c>
      <c r="O187">
        <v>59</v>
      </c>
      <c r="P187">
        <v>0.98154799999999998</v>
      </c>
      <c r="Q187">
        <v>65</v>
      </c>
      <c r="R187">
        <v>0.99082400000000004</v>
      </c>
      <c r="V187" s="10" cm="1">
        <f t="array" ref="V18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186)+1),6),"")</f>
        <v>0.48746</v>
      </c>
      <c r="W187" s="11">
        <f t="shared" si="8"/>
        <v>7991.7757834516797</v>
      </c>
      <c r="X187" s="15"/>
      <c r="Y187" s="13"/>
      <c r="Z187" s="10"/>
      <c r="AA187" s="11"/>
      <c r="AB187" s="12"/>
    </row>
    <row r="188" spans="1:28" x14ac:dyDescent="0.25">
      <c r="A188" s="9">
        <v>70</v>
      </c>
      <c r="B188">
        <v>1.0120450000000001</v>
      </c>
      <c r="C188">
        <f t="shared" si="6"/>
        <v>63</v>
      </c>
      <c r="D188">
        <v>1.002324</v>
      </c>
      <c r="E188" s="9">
        <f t="shared" si="7"/>
        <v>60</v>
      </c>
      <c r="F188">
        <v>0.99862200000000001</v>
      </c>
      <c r="G188" s="9">
        <v>70</v>
      </c>
      <c r="H188">
        <v>0.95447700000000002</v>
      </c>
      <c r="I188">
        <v>60</v>
      </c>
      <c r="J188">
        <v>0.94625999999999999</v>
      </c>
      <c r="K188">
        <v>60</v>
      </c>
      <c r="L188">
        <v>0.93772599999999995</v>
      </c>
      <c r="M188" s="9">
        <v>70</v>
      </c>
      <c r="N188">
        <v>0.99787099999999995</v>
      </c>
      <c r="O188">
        <v>58</v>
      </c>
      <c r="P188">
        <v>0.97876399999999997</v>
      </c>
      <c r="Q188">
        <v>64</v>
      </c>
      <c r="R188">
        <v>0.98836400000000002</v>
      </c>
      <c r="V188" s="10" cm="1">
        <f t="array" ref="V18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187)+1),6),"")</f>
        <v>0.49088799999999999</v>
      </c>
      <c r="W188" s="11">
        <f t="shared" si="8"/>
        <v>8047.9769227978259</v>
      </c>
      <c r="X188" s="15"/>
      <c r="Y188" s="13"/>
      <c r="Z188" s="10"/>
      <c r="AA188" s="11"/>
      <c r="AB188" s="12"/>
    </row>
    <row r="189" spans="1:28" x14ac:dyDescent="0.25">
      <c r="A189" s="9">
        <v>69</v>
      </c>
      <c r="B189">
        <v>1.009603</v>
      </c>
      <c r="C189">
        <f t="shared" si="6"/>
        <v>62</v>
      </c>
      <c r="D189">
        <v>0.99900699999999998</v>
      </c>
      <c r="E189" s="9">
        <f t="shared" si="7"/>
        <v>59</v>
      </c>
      <c r="F189">
        <v>0.99683200000000005</v>
      </c>
      <c r="G189" s="9">
        <v>69</v>
      </c>
      <c r="H189">
        <v>0.95180500000000001</v>
      </c>
      <c r="I189">
        <v>59</v>
      </c>
      <c r="J189">
        <v>0.94300600000000001</v>
      </c>
      <c r="K189">
        <v>59</v>
      </c>
      <c r="L189">
        <v>0.93384699999999998</v>
      </c>
      <c r="M189" s="9">
        <v>69</v>
      </c>
      <c r="N189">
        <v>0.99500500000000003</v>
      </c>
      <c r="O189">
        <v>57</v>
      </c>
      <c r="P189">
        <v>0.97519599999999995</v>
      </c>
      <c r="Q189">
        <v>63</v>
      </c>
      <c r="R189">
        <v>0.98838000000000004</v>
      </c>
      <c r="V189" s="10" cm="1">
        <f t="array" ref="V18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188)+1),6),"")</f>
        <v>0.49332999999999999</v>
      </c>
      <c r="W189" s="11">
        <f t="shared" si="8"/>
        <v>8088.0128569528106</v>
      </c>
      <c r="X189" s="15"/>
      <c r="Y189" s="13"/>
      <c r="Z189" s="10"/>
      <c r="AA189" s="11"/>
      <c r="AB189" s="12"/>
    </row>
    <row r="190" spans="1:28" x14ac:dyDescent="0.25">
      <c r="A190" s="9">
        <v>68</v>
      </c>
      <c r="B190">
        <v>1.006618</v>
      </c>
      <c r="C190">
        <f t="shared" si="6"/>
        <v>61</v>
      </c>
      <c r="D190">
        <v>0.99555800000000005</v>
      </c>
      <c r="E190" s="9">
        <f t="shared" si="7"/>
        <v>58</v>
      </c>
      <c r="F190">
        <v>0.99336800000000003</v>
      </c>
      <c r="G190" s="9">
        <v>68</v>
      </c>
      <c r="H190">
        <v>0.94903400000000004</v>
      </c>
      <c r="I190">
        <v>58</v>
      </c>
      <c r="J190">
        <v>0.93963099999999999</v>
      </c>
      <c r="K190">
        <v>58</v>
      </c>
      <c r="L190">
        <v>0.93126600000000004</v>
      </c>
      <c r="M190" s="9">
        <v>68</v>
      </c>
      <c r="N190">
        <v>0.99195199999999994</v>
      </c>
      <c r="O190">
        <v>56</v>
      </c>
      <c r="P190">
        <v>0.97254200000000002</v>
      </c>
      <c r="Q190">
        <v>62</v>
      </c>
      <c r="R190">
        <v>0.98574200000000001</v>
      </c>
      <c r="V190" s="10" cm="1">
        <f t="array" ref="V19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189)+1),6),"")</f>
        <v>0.49631500000000001</v>
      </c>
      <c r="W190" s="11">
        <f t="shared" si="8"/>
        <v>8136.951130274937</v>
      </c>
      <c r="X190" s="15"/>
      <c r="Y190" s="13"/>
      <c r="Z190" s="10"/>
      <c r="AA190" s="11"/>
      <c r="AB190" s="12"/>
    </row>
    <row r="191" spans="1:28" x14ac:dyDescent="0.25">
      <c r="A191" s="9">
        <v>67</v>
      </c>
      <c r="B191">
        <v>1.0033859999999999</v>
      </c>
      <c r="C191">
        <f t="shared" si="6"/>
        <v>60</v>
      </c>
      <c r="D191">
        <v>0.99252399999999996</v>
      </c>
      <c r="E191" s="9">
        <f t="shared" si="7"/>
        <v>57</v>
      </c>
      <c r="F191">
        <v>0.99093399999999998</v>
      </c>
      <c r="G191" s="9">
        <v>67</v>
      </c>
      <c r="H191">
        <v>0.94543900000000003</v>
      </c>
      <c r="I191">
        <v>57</v>
      </c>
      <c r="J191">
        <v>0.93683399999999994</v>
      </c>
      <c r="K191">
        <v>57</v>
      </c>
      <c r="L191">
        <v>0.92834700000000003</v>
      </c>
      <c r="M191" s="9">
        <v>67</v>
      </c>
      <c r="N191">
        <v>0.98892400000000003</v>
      </c>
      <c r="O191">
        <v>55</v>
      </c>
      <c r="P191">
        <v>0.96995900000000002</v>
      </c>
      <c r="Q191">
        <v>61</v>
      </c>
      <c r="R191">
        <v>0.98261299999999996</v>
      </c>
      <c r="V191" s="10" cm="1">
        <f t="array" ref="V19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190)+1),6),"")</f>
        <v>0.49954700000000002</v>
      </c>
      <c r="W191" s="11">
        <f t="shared" si="8"/>
        <v>8189.9389022605683</v>
      </c>
      <c r="X191" s="15"/>
      <c r="Y191" s="13"/>
      <c r="Z191" s="10"/>
      <c r="AA191" s="11"/>
      <c r="AB191" s="12"/>
    </row>
    <row r="192" spans="1:28" x14ac:dyDescent="0.25">
      <c r="A192" s="9">
        <v>66</v>
      </c>
      <c r="B192">
        <v>1.0007710000000001</v>
      </c>
      <c r="C192">
        <f t="shared" si="6"/>
        <v>59</v>
      </c>
      <c r="D192">
        <v>0.99112699999999998</v>
      </c>
      <c r="E192" s="9">
        <f t="shared" si="7"/>
        <v>56</v>
      </c>
      <c r="F192">
        <v>0.987765</v>
      </c>
      <c r="G192" s="9">
        <v>66</v>
      </c>
      <c r="H192">
        <v>0.94272800000000001</v>
      </c>
      <c r="I192">
        <v>56</v>
      </c>
      <c r="J192">
        <v>0.93387200000000004</v>
      </c>
      <c r="K192">
        <v>56</v>
      </c>
      <c r="L192">
        <v>0.92581899999999995</v>
      </c>
      <c r="M192" s="9">
        <v>66</v>
      </c>
      <c r="N192">
        <v>0.98593799999999998</v>
      </c>
      <c r="O192">
        <v>54</v>
      </c>
      <c r="P192">
        <v>0.966831</v>
      </c>
      <c r="Q192">
        <v>60</v>
      </c>
      <c r="R192">
        <v>0.97997299999999998</v>
      </c>
      <c r="V192" s="10" cm="1">
        <f t="array" ref="V19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191)+1),6),"")</f>
        <v>0.502162</v>
      </c>
      <c r="W192" s="11">
        <f t="shared" si="8"/>
        <v>8232.8111249531503</v>
      </c>
      <c r="X192" s="15"/>
      <c r="Y192" s="13"/>
      <c r="Z192" s="10"/>
      <c r="AA192" s="11"/>
      <c r="AB192" s="12"/>
    </row>
    <row r="193" spans="1:28" x14ac:dyDescent="0.25">
      <c r="A193" s="9">
        <v>65</v>
      </c>
      <c r="B193">
        <v>0.99744999999999995</v>
      </c>
      <c r="C193">
        <f t="shared" si="6"/>
        <v>58</v>
      </c>
      <c r="D193">
        <v>0.98810699999999996</v>
      </c>
      <c r="E193" s="9">
        <f t="shared" si="7"/>
        <v>55</v>
      </c>
      <c r="F193">
        <v>0.98285900000000004</v>
      </c>
      <c r="G193" s="9">
        <v>65</v>
      </c>
      <c r="H193">
        <v>0.93965399999999999</v>
      </c>
      <c r="I193">
        <v>55</v>
      </c>
      <c r="J193">
        <v>0.92990799999999996</v>
      </c>
      <c r="K193">
        <v>55</v>
      </c>
      <c r="L193">
        <v>0.92155799999999999</v>
      </c>
      <c r="M193" s="9">
        <v>65</v>
      </c>
      <c r="N193">
        <v>0.98311400000000004</v>
      </c>
      <c r="O193">
        <v>53</v>
      </c>
      <c r="P193">
        <v>0.96374199999999999</v>
      </c>
      <c r="Q193">
        <v>59</v>
      </c>
      <c r="R193">
        <v>0.97644399999999998</v>
      </c>
      <c r="V193" s="10" cm="1">
        <f t="array" ref="V19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192)+1),6),"")</f>
        <v>0.50548300000000002</v>
      </c>
      <c r="W193" s="11">
        <f t="shared" si="8"/>
        <v>8287.2580280361581</v>
      </c>
      <c r="X193" s="15"/>
      <c r="Y193" s="13"/>
      <c r="Z193" s="10"/>
      <c r="AA193" s="11"/>
      <c r="AB193" s="12"/>
    </row>
    <row r="194" spans="1:28" x14ac:dyDescent="0.25">
      <c r="A194" s="9">
        <v>64</v>
      </c>
      <c r="B194">
        <v>0.99453899999999995</v>
      </c>
      <c r="C194">
        <f t="shared" si="6"/>
        <v>57</v>
      </c>
      <c r="D194">
        <v>0.98455499999999996</v>
      </c>
      <c r="E194" s="9">
        <f t="shared" si="7"/>
        <v>54</v>
      </c>
      <c r="F194">
        <v>0.97931400000000002</v>
      </c>
      <c r="G194" s="9">
        <v>64</v>
      </c>
      <c r="H194">
        <v>0.93715000000000004</v>
      </c>
      <c r="I194">
        <v>54</v>
      </c>
      <c r="J194">
        <v>0.927064</v>
      </c>
      <c r="K194">
        <v>54</v>
      </c>
      <c r="L194">
        <v>0.91902300000000003</v>
      </c>
      <c r="M194" s="9">
        <v>64</v>
      </c>
      <c r="N194">
        <v>0.98028700000000002</v>
      </c>
      <c r="O194">
        <v>52</v>
      </c>
      <c r="P194">
        <v>0.96092999999999995</v>
      </c>
      <c r="Q194">
        <v>58</v>
      </c>
      <c r="R194">
        <v>0.97370299999999999</v>
      </c>
      <c r="V194" s="10" cm="1">
        <f t="array" ref="V19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193)+1),6),"")</f>
        <v>0.50839400000000001</v>
      </c>
      <c r="W194" s="11">
        <f t="shared" si="8"/>
        <v>8334.9830912323741</v>
      </c>
      <c r="X194" s="15"/>
      <c r="Y194" s="13"/>
      <c r="Z194" s="10"/>
      <c r="AA194" s="11"/>
      <c r="AB194" s="12"/>
    </row>
    <row r="195" spans="1:28" x14ac:dyDescent="0.25">
      <c r="A195" s="9">
        <v>63</v>
      </c>
      <c r="B195">
        <v>0.99360300000000001</v>
      </c>
      <c r="C195">
        <f t="shared" si="6"/>
        <v>56</v>
      </c>
      <c r="D195">
        <v>0.98168599999999995</v>
      </c>
      <c r="E195" s="9">
        <f t="shared" si="7"/>
        <v>53</v>
      </c>
      <c r="F195">
        <v>0.97699000000000003</v>
      </c>
      <c r="G195" s="9">
        <v>63</v>
      </c>
      <c r="H195">
        <v>0.94154499999999997</v>
      </c>
      <c r="I195">
        <v>53</v>
      </c>
      <c r="J195">
        <v>0.92385300000000004</v>
      </c>
      <c r="K195">
        <v>53</v>
      </c>
      <c r="L195">
        <v>0.91623500000000002</v>
      </c>
      <c r="M195" s="9">
        <v>63</v>
      </c>
      <c r="N195">
        <v>0.98365400000000003</v>
      </c>
      <c r="O195">
        <v>51</v>
      </c>
      <c r="P195">
        <v>0.957422</v>
      </c>
      <c r="Q195">
        <v>57</v>
      </c>
      <c r="R195">
        <v>0.97048199999999996</v>
      </c>
      <c r="V195" s="10" cm="1">
        <f t="array" ref="V19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194)+1),6),"")</f>
        <v>0.50932999999999995</v>
      </c>
      <c r="W195" s="11">
        <f t="shared" si="8"/>
        <v>8350.3285598519742</v>
      </c>
      <c r="X195" s="15"/>
      <c r="Y195" s="13"/>
      <c r="Z195" s="10"/>
      <c r="AA195" s="11"/>
      <c r="AB195" s="12"/>
    </row>
    <row r="196" spans="1:28" x14ac:dyDescent="0.25">
      <c r="A196" s="9">
        <v>62</v>
      </c>
      <c r="B196">
        <v>0.99059200000000003</v>
      </c>
      <c r="C196">
        <f t="shared" si="6"/>
        <v>55</v>
      </c>
      <c r="D196">
        <v>0.97857099999999997</v>
      </c>
      <c r="E196" s="9">
        <f t="shared" si="7"/>
        <v>52</v>
      </c>
      <c r="F196">
        <v>0.973638</v>
      </c>
      <c r="G196" s="9">
        <v>62</v>
      </c>
      <c r="H196">
        <v>0.93875699999999995</v>
      </c>
      <c r="I196">
        <v>52</v>
      </c>
      <c r="J196">
        <v>0.92094299999999996</v>
      </c>
      <c r="K196">
        <v>52</v>
      </c>
      <c r="L196">
        <v>0.91353300000000004</v>
      </c>
      <c r="M196" s="9">
        <v>62</v>
      </c>
      <c r="N196">
        <v>0.98097599999999996</v>
      </c>
      <c r="O196">
        <v>50</v>
      </c>
      <c r="P196">
        <v>0.95478499999999999</v>
      </c>
      <c r="Q196">
        <v>56</v>
      </c>
      <c r="R196">
        <v>0.96804199999999996</v>
      </c>
      <c r="V196" s="10" cm="1">
        <f t="array" ref="V19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195)+1),6),"")</f>
        <v>0.51234100000000005</v>
      </c>
      <c r="W196" s="11">
        <f t="shared" si="8"/>
        <v>8399.6930961913131</v>
      </c>
      <c r="X196" s="15"/>
      <c r="Y196" s="13"/>
      <c r="Z196" s="10"/>
      <c r="AA196" s="11"/>
      <c r="AB196" s="12"/>
    </row>
    <row r="197" spans="1:28" x14ac:dyDescent="0.25">
      <c r="A197" s="9">
        <v>61</v>
      </c>
      <c r="B197">
        <v>0.98782000000000003</v>
      </c>
      <c r="C197">
        <f t="shared" ref="C197:C251" si="9">C196-1</f>
        <v>54</v>
      </c>
      <c r="D197">
        <v>0.975553</v>
      </c>
      <c r="E197" s="9">
        <f t="shared" ref="E197:E248" si="10">E196-1</f>
        <v>51</v>
      </c>
      <c r="F197">
        <v>0.97192500000000004</v>
      </c>
      <c r="G197" s="9">
        <v>61</v>
      </c>
      <c r="H197">
        <v>0.935886</v>
      </c>
      <c r="I197">
        <v>51</v>
      </c>
      <c r="J197">
        <v>0.917489</v>
      </c>
      <c r="K197">
        <v>51</v>
      </c>
      <c r="L197">
        <v>0.90950699999999995</v>
      </c>
      <c r="M197" s="9">
        <v>61</v>
      </c>
      <c r="N197">
        <v>0.97792400000000002</v>
      </c>
      <c r="O197">
        <v>49</v>
      </c>
      <c r="P197">
        <v>0.95152000000000003</v>
      </c>
      <c r="Q197">
        <v>55</v>
      </c>
      <c r="R197">
        <v>0.96515099999999998</v>
      </c>
      <c r="V197" s="10" cm="1">
        <f t="array" ref="V19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196)+1),6),"")</f>
        <v>0.51511300000000004</v>
      </c>
      <c r="W197" s="11">
        <f t="shared" ref="W197:W258" si="11">V197*16394.7314311978</f>
        <v>8445.1392917185931</v>
      </c>
      <c r="X197" s="15"/>
      <c r="Y197" s="13"/>
      <c r="Z197" s="10"/>
      <c r="AA197" s="11"/>
      <c r="AB197" s="12"/>
    </row>
    <row r="198" spans="1:28" x14ac:dyDescent="0.25">
      <c r="A198" s="9">
        <v>60</v>
      </c>
      <c r="B198">
        <v>0.98464399999999996</v>
      </c>
      <c r="C198">
        <f t="shared" si="9"/>
        <v>53</v>
      </c>
      <c r="D198">
        <v>0.97205200000000003</v>
      </c>
      <c r="E198" s="9">
        <f t="shared" si="10"/>
        <v>50</v>
      </c>
      <c r="F198">
        <v>0.96867700000000001</v>
      </c>
      <c r="G198" s="9">
        <v>60</v>
      </c>
      <c r="H198">
        <v>0.93302600000000002</v>
      </c>
      <c r="I198">
        <v>50</v>
      </c>
      <c r="J198">
        <v>0.91437500000000005</v>
      </c>
      <c r="K198">
        <v>50</v>
      </c>
      <c r="L198">
        <v>0.90686900000000004</v>
      </c>
      <c r="M198" s="9">
        <v>60</v>
      </c>
      <c r="N198">
        <v>0.97514400000000001</v>
      </c>
      <c r="O198">
        <v>48</v>
      </c>
      <c r="P198">
        <v>0.948631</v>
      </c>
      <c r="Q198">
        <v>54</v>
      </c>
      <c r="R198">
        <v>0.96240700000000001</v>
      </c>
      <c r="V198" s="10" cm="1">
        <f t="array" ref="V19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197)+1),6),"")</f>
        <v>0.518289</v>
      </c>
      <c r="W198" s="11">
        <f t="shared" si="11"/>
        <v>8497.2089587440769</v>
      </c>
      <c r="X198" s="15"/>
      <c r="Y198" s="13"/>
      <c r="Z198" s="10"/>
      <c r="AA198" s="11"/>
      <c r="AB198" s="12"/>
    </row>
    <row r="199" spans="1:28" x14ac:dyDescent="0.25">
      <c r="A199" s="9">
        <v>59</v>
      </c>
      <c r="B199">
        <v>0.98158199999999995</v>
      </c>
      <c r="C199">
        <f t="shared" si="9"/>
        <v>52</v>
      </c>
      <c r="D199">
        <v>0.96874899999999997</v>
      </c>
      <c r="E199" s="9">
        <f t="shared" si="10"/>
        <v>49</v>
      </c>
      <c r="F199">
        <v>0.96641500000000002</v>
      </c>
      <c r="G199" s="9">
        <v>59</v>
      </c>
      <c r="H199">
        <v>0.92969000000000002</v>
      </c>
      <c r="I199">
        <v>49</v>
      </c>
      <c r="J199">
        <v>0.91138799999999998</v>
      </c>
      <c r="K199">
        <v>49</v>
      </c>
      <c r="L199">
        <v>0.90395999999999999</v>
      </c>
      <c r="M199" s="9">
        <v>59</v>
      </c>
      <c r="N199">
        <v>0.97225799999999996</v>
      </c>
      <c r="O199">
        <v>47</v>
      </c>
      <c r="P199">
        <v>0.94760299999999997</v>
      </c>
      <c r="Q199">
        <v>53</v>
      </c>
      <c r="R199">
        <v>0.95918499999999995</v>
      </c>
      <c r="V199" s="10" cm="1">
        <f t="array" ref="V19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198)+1),6),"")</f>
        <v>0.52135100000000001</v>
      </c>
      <c r="W199" s="11">
        <f t="shared" si="11"/>
        <v>8547.4096263864049</v>
      </c>
      <c r="X199" s="15"/>
      <c r="Y199" s="13"/>
      <c r="Z199" s="10"/>
      <c r="AA199" s="11"/>
      <c r="AB199" s="12"/>
    </row>
    <row r="200" spans="1:28" x14ac:dyDescent="0.25">
      <c r="A200" s="9">
        <v>58</v>
      </c>
      <c r="B200">
        <v>0.97877999999999998</v>
      </c>
      <c r="C200">
        <f t="shared" si="9"/>
        <v>51</v>
      </c>
      <c r="D200">
        <v>0.96751799999999999</v>
      </c>
      <c r="E200" s="9">
        <f t="shared" si="10"/>
        <v>48</v>
      </c>
      <c r="F200">
        <v>0.96312600000000004</v>
      </c>
      <c r="G200" s="9">
        <v>58</v>
      </c>
      <c r="H200">
        <v>0.92684800000000001</v>
      </c>
      <c r="I200">
        <v>48</v>
      </c>
      <c r="J200">
        <v>0.90832999999999997</v>
      </c>
      <c r="K200">
        <v>48</v>
      </c>
      <c r="L200">
        <v>0.90141899999999997</v>
      </c>
      <c r="M200" s="9">
        <v>58</v>
      </c>
      <c r="N200">
        <v>0.96921100000000004</v>
      </c>
      <c r="O200">
        <v>46</v>
      </c>
      <c r="P200">
        <v>0.94442099999999995</v>
      </c>
      <c r="Q200">
        <v>52</v>
      </c>
      <c r="R200">
        <v>0.95657999999999999</v>
      </c>
      <c r="V200" s="10" cm="1">
        <f t="array" ref="V20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199)+1),6),"")</f>
        <v>0.52415299999999998</v>
      </c>
      <c r="W200" s="11">
        <f t="shared" si="11"/>
        <v>8593.3476638566208</v>
      </c>
      <c r="X200" s="15"/>
      <c r="Y200" s="13"/>
      <c r="Z200" s="10"/>
      <c r="AA200" s="11"/>
      <c r="AB200" s="12"/>
    </row>
    <row r="201" spans="1:28" x14ac:dyDescent="0.25">
      <c r="A201" s="9">
        <v>57</v>
      </c>
      <c r="B201">
        <v>0.97587500000000005</v>
      </c>
      <c r="C201">
        <f t="shared" si="9"/>
        <v>50</v>
      </c>
      <c r="D201">
        <v>0.96458600000000005</v>
      </c>
      <c r="E201" s="9">
        <f t="shared" si="10"/>
        <v>47</v>
      </c>
      <c r="F201">
        <v>0.96055400000000002</v>
      </c>
      <c r="G201" s="9">
        <v>57</v>
      </c>
      <c r="H201">
        <v>0.923956</v>
      </c>
      <c r="I201">
        <v>47</v>
      </c>
      <c r="J201">
        <v>0.90947999999999996</v>
      </c>
      <c r="K201">
        <v>47</v>
      </c>
      <c r="L201">
        <v>0.90073199999999998</v>
      </c>
      <c r="M201" s="9">
        <v>57</v>
      </c>
      <c r="N201">
        <v>0.96641699999999997</v>
      </c>
      <c r="O201">
        <v>45</v>
      </c>
      <c r="P201">
        <v>0.941245</v>
      </c>
      <c r="Q201">
        <v>51</v>
      </c>
      <c r="R201">
        <v>0.95290699999999995</v>
      </c>
      <c r="V201" s="10" cm="1">
        <f t="array" ref="V20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200)+1),6),"")</f>
        <v>0.52705800000000003</v>
      </c>
      <c r="W201" s="11">
        <f t="shared" si="11"/>
        <v>8640.9743586642508</v>
      </c>
      <c r="X201" s="15"/>
      <c r="Y201" s="13"/>
      <c r="Z201" s="10"/>
      <c r="AA201" s="11"/>
      <c r="AB201" s="12"/>
    </row>
    <row r="202" spans="1:28" x14ac:dyDescent="0.25">
      <c r="A202" s="9">
        <v>56</v>
      </c>
      <c r="B202">
        <v>0.97292800000000002</v>
      </c>
      <c r="C202">
        <f t="shared" si="9"/>
        <v>49</v>
      </c>
      <c r="D202">
        <v>0.96084099999999995</v>
      </c>
      <c r="E202" s="9">
        <f t="shared" si="10"/>
        <v>46</v>
      </c>
      <c r="F202">
        <v>0.957237</v>
      </c>
      <c r="G202" s="9">
        <v>56</v>
      </c>
      <c r="H202">
        <v>0.92115400000000003</v>
      </c>
      <c r="I202">
        <v>46</v>
      </c>
      <c r="J202">
        <v>0.90624499999999997</v>
      </c>
      <c r="K202">
        <v>46</v>
      </c>
      <c r="L202">
        <v>0.89815400000000001</v>
      </c>
      <c r="M202" s="9">
        <v>56</v>
      </c>
      <c r="N202">
        <v>0.96343900000000005</v>
      </c>
      <c r="O202">
        <v>44</v>
      </c>
      <c r="P202">
        <v>0.93839300000000003</v>
      </c>
      <c r="Q202">
        <v>50</v>
      </c>
      <c r="R202">
        <v>0.95012799999999997</v>
      </c>
      <c r="V202" s="10" cm="1">
        <f t="array" ref="V20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201)+1),6),"")</f>
        <v>0.53000499999999995</v>
      </c>
      <c r="W202" s="11">
        <f t="shared" si="11"/>
        <v>8689.2896321919889</v>
      </c>
      <c r="X202" s="15"/>
      <c r="Y202" s="13"/>
      <c r="Z202" s="10"/>
      <c r="AA202" s="11"/>
      <c r="AB202" s="12"/>
    </row>
    <row r="203" spans="1:28" x14ac:dyDescent="0.25">
      <c r="A203" s="9">
        <v>55</v>
      </c>
      <c r="B203">
        <v>0.97173500000000002</v>
      </c>
      <c r="C203">
        <f t="shared" si="9"/>
        <v>48</v>
      </c>
      <c r="D203">
        <v>0.95781700000000003</v>
      </c>
      <c r="E203" s="9">
        <f t="shared" si="10"/>
        <v>45</v>
      </c>
      <c r="F203">
        <v>0.95514600000000005</v>
      </c>
      <c r="G203" s="9">
        <v>55</v>
      </c>
      <c r="H203">
        <v>0.91846000000000005</v>
      </c>
      <c r="I203">
        <v>45</v>
      </c>
      <c r="J203">
        <v>0.90341499999999997</v>
      </c>
      <c r="K203">
        <v>45</v>
      </c>
      <c r="L203">
        <v>0.89505500000000005</v>
      </c>
      <c r="M203" s="9">
        <v>55</v>
      </c>
      <c r="N203">
        <v>0.96115099999999998</v>
      </c>
      <c r="O203">
        <v>43</v>
      </c>
      <c r="P203">
        <v>0.93535299999999999</v>
      </c>
      <c r="Q203">
        <v>49</v>
      </c>
      <c r="R203">
        <v>0.947187</v>
      </c>
      <c r="V203" s="10" cm="1">
        <f t="array" ref="V20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202)+1),6),"")</f>
        <v>0.53119799999999995</v>
      </c>
      <c r="W203" s="11">
        <f t="shared" si="11"/>
        <v>8708.8485467894079</v>
      </c>
      <c r="X203" s="15"/>
      <c r="Y203" s="13"/>
      <c r="Z203" s="10"/>
      <c r="AA203" s="11"/>
      <c r="AB203" s="12"/>
    </row>
    <row r="204" spans="1:28" x14ac:dyDescent="0.25">
      <c r="A204" s="9">
        <v>54</v>
      </c>
      <c r="B204">
        <v>0.96897699999999998</v>
      </c>
      <c r="C204">
        <f t="shared" si="9"/>
        <v>47</v>
      </c>
      <c r="D204">
        <v>0.95648599999999995</v>
      </c>
      <c r="E204" s="9">
        <f t="shared" si="10"/>
        <v>44</v>
      </c>
      <c r="F204">
        <v>0.95160500000000003</v>
      </c>
      <c r="G204" s="9">
        <v>54</v>
      </c>
      <c r="H204">
        <v>0.91583599999999998</v>
      </c>
      <c r="I204">
        <v>44</v>
      </c>
      <c r="J204">
        <v>0.90037900000000004</v>
      </c>
      <c r="K204">
        <v>44</v>
      </c>
      <c r="L204">
        <v>0.89268599999999998</v>
      </c>
      <c r="M204" s="9">
        <v>54</v>
      </c>
      <c r="N204">
        <v>0.95805200000000001</v>
      </c>
      <c r="O204">
        <v>42</v>
      </c>
      <c r="P204">
        <v>0.93231699999999995</v>
      </c>
      <c r="Q204">
        <v>48</v>
      </c>
      <c r="R204">
        <v>0.94439600000000001</v>
      </c>
      <c r="V204" s="10" cm="1">
        <f t="array" ref="V20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203)+1),6),"")</f>
        <v>0.53395599999999999</v>
      </c>
      <c r="W204" s="11">
        <f t="shared" si="11"/>
        <v>8754.0652160766531</v>
      </c>
      <c r="X204" s="15"/>
      <c r="Y204" s="13"/>
      <c r="Z204" s="10"/>
      <c r="AA204" s="11"/>
      <c r="AB204" s="12"/>
    </row>
    <row r="205" spans="1:28" x14ac:dyDescent="0.25">
      <c r="A205" s="9">
        <v>53</v>
      </c>
      <c r="B205">
        <v>0.96586899999999998</v>
      </c>
      <c r="C205">
        <f t="shared" si="9"/>
        <v>46</v>
      </c>
      <c r="D205">
        <v>0.95340400000000003</v>
      </c>
      <c r="E205" s="9">
        <f t="shared" si="10"/>
        <v>43</v>
      </c>
      <c r="F205">
        <v>0.94970399999999999</v>
      </c>
      <c r="G205" s="9">
        <v>53</v>
      </c>
      <c r="H205">
        <v>0.91302499999999998</v>
      </c>
      <c r="I205">
        <v>43</v>
      </c>
      <c r="J205">
        <v>0.89702400000000004</v>
      </c>
      <c r="K205">
        <v>43</v>
      </c>
      <c r="L205">
        <v>0.88855200000000001</v>
      </c>
      <c r="M205" s="9">
        <v>53</v>
      </c>
      <c r="N205">
        <v>0.95534600000000003</v>
      </c>
      <c r="O205">
        <v>41</v>
      </c>
      <c r="P205">
        <v>0.92910999999999999</v>
      </c>
      <c r="Q205">
        <v>47</v>
      </c>
      <c r="R205">
        <v>0.94158900000000001</v>
      </c>
      <c r="V205" s="10" cm="1">
        <f t="array" ref="V20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204)+1),6),"")</f>
        <v>0.53706399999999999</v>
      </c>
      <c r="W205" s="11">
        <f t="shared" si="11"/>
        <v>8805.0200413648163</v>
      </c>
      <c r="X205" s="15"/>
      <c r="Y205" s="13"/>
      <c r="Z205" s="10"/>
      <c r="AA205" s="11"/>
      <c r="AB205" s="12"/>
    </row>
    <row r="206" spans="1:28" x14ac:dyDescent="0.25">
      <c r="A206" s="9">
        <v>52</v>
      </c>
      <c r="B206">
        <v>0.963036</v>
      </c>
      <c r="C206">
        <f t="shared" si="9"/>
        <v>45</v>
      </c>
      <c r="D206">
        <v>0.94992100000000002</v>
      </c>
      <c r="E206" s="9">
        <f t="shared" si="10"/>
        <v>42</v>
      </c>
      <c r="F206">
        <v>0.94638699999999998</v>
      </c>
      <c r="G206" s="9">
        <v>52</v>
      </c>
      <c r="H206">
        <v>0.91024099999999997</v>
      </c>
      <c r="I206">
        <v>42</v>
      </c>
      <c r="J206">
        <v>0.89390400000000003</v>
      </c>
      <c r="K206">
        <v>42</v>
      </c>
      <c r="L206">
        <v>0.88586200000000004</v>
      </c>
      <c r="M206" s="9">
        <v>52</v>
      </c>
      <c r="N206">
        <v>0.95253299999999996</v>
      </c>
      <c r="O206">
        <v>40</v>
      </c>
      <c r="P206">
        <v>0.92602300000000004</v>
      </c>
      <c r="Q206">
        <v>46</v>
      </c>
      <c r="R206">
        <v>0.93892299999999995</v>
      </c>
      <c r="V206" s="10" cm="1">
        <f t="array" ref="V20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205)+1),6),"")</f>
        <v>0.53989699999999996</v>
      </c>
      <c r="W206" s="11">
        <f t="shared" si="11"/>
        <v>8851.4663155093986</v>
      </c>
      <c r="X206" s="15"/>
      <c r="Y206" s="13"/>
      <c r="Z206" s="10"/>
      <c r="AA206" s="11"/>
      <c r="AB206" s="12"/>
    </row>
    <row r="207" spans="1:28" x14ac:dyDescent="0.25">
      <c r="A207" s="9">
        <v>51</v>
      </c>
      <c r="B207">
        <v>0.95975699999999997</v>
      </c>
      <c r="C207">
        <f t="shared" si="9"/>
        <v>44</v>
      </c>
      <c r="D207">
        <v>0.94676300000000002</v>
      </c>
      <c r="E207" s="9">
        <f t="shared" si="10"/>
        <v>41</v>
      </c>
      <c r="F207">
        <v>0.94436500000000001</v>
      </c>
      <c r="G207" s="9">
        <v>51</v>
      </c>
      <c r="H207">
        <v>0.90683199999999997</v>
      </c>
      <c r="I207">
        <v>41</v>
      </c>
      <c r="J207">
        <v>0.89078199999999996</v>
      </c>
      <c r="K207">
        <v>41</v>
      </c>
      <c r="L207">
        <v>0.88320799999999999</v>
      </c>
      <c r="M207" s="9">
        <v>51</v>
      </c>
      <c r="N207">
        <v>0.94917499999999999</v>
      </c>
      <c r="O207">
        <v>39</v>
      </c>
      <c r="P207">
        <v>0.923149</v>
      </c>
      <c r="Q207">
        <v>45</v>
      </c>
      <c r="R207">
        <v>0.93543699999999996</v>
      </c>
      <c r="V207" s="10" cm="1">
        <f t="array" ref="V20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206)+1),6),"")</f>
        <v>0.54317599999999999</v>
      </c>
      <c r="W207" s="11">
        <f t="shared" si="11"/>
        <v>8905.2246398722964</v>
      </c>
      <c r="X207" s="15"/>
      <c r="Y207" s="13"/>
      <c r="Z207" s="10"/>
      <c r="AA207" s="11"/>
      <c r="AB207" s="12"/>
    </row>
    <row r="208" spans="1:28" x14ac:dyDescent="0.25">
      <c r="A208" s="9">
        <v>50</v>
      </c>
      <c r="B208">
        <v>0.95668799999999998</v>
      </c>
      <c r="C208">
        <f t="shared" si="9"/>
        <v>43</v>
      </c>
      <c r="D208">
        <v>0.94521500000000003</v>
      </c>
      <c r="E208" s="9">
        <f t="shared" si="10"/>
        <v>40</v>
      </c>
      <c r="F208">
        <v>0.94082399999999999</v>
      </c>
      <c r="G208" s="9">
        <v>50</v>
      </c>
      <c r="H208">
        <v>0.90366999999999997</v>
      </c>
      <c r="I208">
        <v>40</v>
      </c>
      <c r="J208">
        <v>0.88781299999999996</v>
      </c>
      <c r="K208">
        <v>40</v>
      </c>
      <c r="L208">
        <v>0.88011799999999996</v>
      </c>
      <c r="M208" s="9">
        <v>50</v>
      </c>
      <c r="N208">
        <v>0.94658399999999998</v>
      </c>
      <c r="O208">
        <v>38</v>
      </c>
      <c r="P208">
        <v>0.92047500000000004</v>
      </c>
      <c r="Q208">
        <v>44</v>
      </c>
      <c r="R208">
        <v>0.93288300000000002</v>
      </c>
      <c r="V208" s="10" cm="1">
        <f t="array" ref="V20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207)+1),6),"")</f>
        <v>0.54624499999999998</v>
      </c>
      <c r="W208" s="11">
        <f t="shared" si="11"/>
        <v>8955.5400706346427</v>
      </c>
      <c r="X208" s="15"/>
      <c r="Y208" s="13"/>
      <c r="Z208" s="10"/>
      <c r="AA208" s="11"/>
      <c r="AB208" s="12"/>
    </row>
    <row r="209" spans="1:28" x14ac:dyDescent="0.25">
      <c r="A209" s="9">
        <v>49</v>
      </c>
      <c r="B209">
        <v>0.95379400000000003</v>
      </c>
      <c r="C209">
        <f t="shared" si="9"/>
        <v>42</v>
      </c>
      <c r="D209">
        <v>0.94223000000000001</v>
      </c>
      <c r="E209" s="9">
        <f t="shared" si="10"/>
        <v>39</v>
      </c>
      <c r="F209">
        <v>0.93567400000000001</v>
      </c>
      <c r="G209" s="9">
        <v>49</v>
      </c>
      <c r="H209">
        <v>0.90101699999999996</v>
      </c>
      <c r="I209">
        <v>39</v>
      </c>
      <c r="J209">
        <v>0.88386799999999999</v>
      </c>
      <c r="K209">
        <v>39</v>
      </c>
      <c r="L209">
        <v>0.87634000000000001</v>
      </c>
      <c r="M209" s="9">
        <v>49</v>
      </c>
      <c r="N209">
        <v>0.94359400000000004</v>
      </c>
      <c r="O209">
        <v>37</v>
      </c>
      <c r="P209">
        <v>0.91714700000000005</v>
      </c>
      <c r="Q209">
        <v>43</v>
      </c>
      <c r="R209">
        <v>0.92928100000000002</v>
      </c>
      <c r="V209" s="10" cm="1">
        <f t="array" ref="V20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208)+1),6),"")</f>
        <v>0.54913900000000004</v>
      </c>
      <c r="W209" s="11">
        <f t="shared" si="11"/>
        <v>9002.9864233965291</v>
      </c>
      <c r="X209" s="15"/>
      <c r="Y209" s="13"/>
      <c r="Z209" s="10"/>
      <c r="AA209" s="11"/>
      <c r="AB209" s="12"/>
    </row>
    <row r="210" spans="1:28" x14ac:dyDescent="0.25">
      <c r="A210" s="9">
        <v>48</v>
      </c>
      <c r="B210">
        <v>0.95096400000000003</v>
      </c>
      <c r="C210">
        <f t="shared" si="9"/>
        <v>41</v>
      </c>
      <c r="D210">
        <v>0.93880300000000005</v>
      </c>
      <c r="E210" s="9">
        <f t="shared" si="10"/>
        <v>38</v>
      </c>
      <c r="F210">
        <v>0.932168</v>
      </c>
      <c r="G210" s="9">
        <v>48</v>
      </c>
      <c r="H210">
        <v>0.89816799999999997</v>
      </c>
      <c r="I210">
        <v>38</v>
      </c>
      <c r="J210">
        <v>0.88088</v>
      </c>
      <c r="K210">
        <v>38</v>
      </c>
      <c r="L210">
        <v>0.87373999999999996</v>
      </c>
      <c r="M210" s="9">
        <v>48</v>
      </c>
      <c r="N210">
        <v>0.94053500000000001</v>
      </c>
      <c r="O210">
        <v>36</v>
      </c>
      <c r="P210">
        <v>0.91415100000000005</v>
      </c>
      <c r="Q210">
        <v>42</v>
      </c>
      <c r="R210">
        <v>0.92669100000000004</v>
      </c>
      <c r="V210" s="10" cm="1">
        <f t="array" ref="V21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209)+1),6),"")</f>
        <v>0.55196900000000004</v>
      </c>
      <c r="W210" s="11">
        <f t="shared" si="11"/>
        <v>9049.3835133468201</v>
      </c>
      <c r="X210" s="15"/>
      <c r="Y210" s="13"/>
      <c r="Z210" s="10"/>
      <c r="AA210" s="11"/>
      <c r="AB210" s="12"/>
    </row>
    <row r="211" spans="1:28" x14ac:dyDescent="0.25">
      <c r="A211" s="9">
        <v>47</v>
      </c>
      <c r="B211">
        <v>0.94675299999999996</v>
      </c>
      <c r="C211">
        <f t="shared" si="9"/>
        <v>40</v>
      </c>
      <c r="D211">
        <v>0.93562299999999998</v>
      </c>
      <c r="E211" s="9">
        <f t="shared" si="10"/>
        <v>37</v>
      </c>
      <c r="F211">
        <v>0.93022300000000002</v>
      </c>
      <c r="G211" s="9">
        <v>47</v>
      </c>
      <c r="H211">
        <v>0.89638799999999996</v>
      </c>
      <c r="I211">
        <v>37</v>
      </c>
      <c r="J211">
        <v>0.87796099999999999</v>
      </c>
      <c r="K211">
        <v>37</v>
      </c>
      <c r="L211">
        <v>0.87097899999999995</v>
      </c>
      <c r="M211" s="9">
        <v>47</v>
      </c>
      <c r="N211">
        <v>0.93995899999999999</v>
      </c>
      <c r="O211">
        <v>35</v>
      </c>
      <c r="P211">
        <v>0.910964</v>
      </c>
      <c r="Q211">
        <v>41</v>
      </c>
      <c r="R211">
        <v>0.92343699999999995</v>
      </c>
      <c r="V211" s="10" cm="1">
        <f t="array" ref="V21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210)+1),6),"")</f>
        <v>0.55618000000000001</v>
      </c>
      <c r="W211" s="11">
        <f t="shared" si="11"/>
        <v>9118.4217274035927</v>
      </c>
      <c r="X211" s="15"/>
      <c r="Y211" s="13"/>
      <c r="Z211" s="10"/>
      <c r="AA211" s="11"/>
      <c r="AB211" s="12"/>
    </row>
    <row r="212" spans="1:28" x14ac:dyDescent="0.25">
      <c r="A212" s="9">
        <v>46</v>
      </c>
      <c r="B212">
        <v>0.94355199999999995</v>
      </c>
      <c r="C212">
        <f t="shared" si="9"/>
        <v>39</v>
      </c>
      <c r="D212">
        <v>0.93281700000000001</v>
      </c>
      <c r="E212" s="9">
        <f t="shared" si="10"/>
        <v>36</v>
      </c>
      <c r="F212">
        <v>0.92658700000000005</v>
      </c>
      <c r="G212" s="9">
        <v>46</v>
      </c>
      <c r="H212">
        <v>0.89343600000000001</v>
      </c>
      <c r="I212">
        <v>36</v>
      </c>
      <c r="J212">
        <v>0.87463000000000002</v>
      </c>
      <c r="K212">
        <v>36</v>
      </c>
      <c r="L212">
        <v>0.86820799999999998</v>
      </c>
      <c r="M212" s="9">
        <v>46</v>
      </c>
      <c r="N212">
        <v>0.936643</v>
      </c>
      <c r="O212">
        <v>34</v>
      </c>
      <c r="P212">
        <v>0.90790000000000004</v>
      </c>
      <c r="Q212">
        <v>40</v>
      </c>
      <c r="R212">
        <v>0.92052400000000001</v>
      </c>
      <c r="V212" s="10" cm="1">
        <f t="array" ref="V21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211)+1),6),"")</f>
        <v>0.55938100000000002</v>
      </c>
      <c r="W212" s="11">
        <f t="shared" si="11"/>
        <v>9170.9012627148568</v>
      </c>
      <c r="X212" s="15"/>
      <c r="Y212" s="13"/>
      <c r="Z212" s="10"/>
      <c r="AA212" s="11"/>
      <c r="AB212" s="12"/>
    </row>
    <row r="213" spans="1:28" x14ac:dyDescent="0.25">
      <c r="A213" s="9">
        <v>45</v>
      </c>
      <c r="B213">
        <v>0.94060200000000005</v>
      </c>
      <c r="C213">
        <f t="shared" si="9"/>
        <v>38</v>
      </c>
      <c r="D213">
        <v>0.92950500000000003</v>
      </c>
      <c r="E213" s="9">
        <f t="shared" si="10"/>
        <v>35</v>
      </c>
      <c r="F213">
        <v>0.92493899999999996</v>
      </c>
      <c r="G213" s="9">
        <v>45</v>
      </c>
      <c r="H213">
        <v>0.89049199999999995</v>
      </c>
      <c r="I213">
        <v>35</v>
      </c>
      <c r="J213">
        <v>0.87137699999999996</v>
      </c>
      <c r="K213">
        <v>35</v>
      </c>
      <c r="L213">
        <v>0.86397999999999997</v>
      </c>
      <c r="M213" s="9">
        <v>45</v>
      </c>
      <c r="N213">
        <v>0.93397600000000003</v>
      </c>
      <c r="O213">
        <v>33</v>
      </c>
      <c r="P213">
        <v>0.90468999999999999</v>
      </c>
      <c r="Q213">
        <v>39</v>
      </c>
      <c r="R213">
        <v>0.91800099999999996</v>
      </c>
      <c r="V213" s="10" cm="1">
        <f t="array" ref="V21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212)+1),6),"")</f>
        <v>0.56233100000000003</v>
      </c>
      <c r="W213" s="11">
        <f t="shared" si="11"/>
        <v>9219.2657204368916</v>
      </c>
      <c r="X213" s="15"/>
      <c r="Y213" s="13"/>
      <c r="Z213" s="10"/>
      <c r="AA213" s="11"/>
      <c r="AB213" s="12"/>
    </row>
    <row r="214" spans="1:28" x14ac:dyDescent="0.25">
      <c r="A214" s="9">
        <v>44</v>
      </c>
      <c r="B214">
        <v>0.937801</v>
      </c>
      <c r="C214">
        <f t="shared" si="9"/>
        <v>37</v>
      </c>
      <c r="D214">
        <v>0.92566999999999999</v>
      </c>
      <c r="E214" s="9">
        <f t="shared" si="10"/>
        <v>34</v>
      </c>
      <c r="F214">
        <v>0.92159800000000003</v>
      </c>
      <c r="G214" s="9">
        <v>44</v>
      </c>
      <c r="H214">
        <v>0.88795900000000005</v>
      </c>
      <c r="I214">
        <v>34</v>
      </c>
      <c r="J214">
        <v>0.86849900000000002</v>
      </c>
      <c r="K214">
        <v>34</v>
      </c>
      <c r="L214">
        <v>0.861456</v>
      </c>
      <c r="M214" s="9">
        <v>44</v>
      </c>
      <c r="N214">
        <v>0.93104299999999995</v>
      </c>
      <c r="O214">
        <v>32</v>
      </c>
      <c r="P214">
        <v>0.90169299999999997</v>
      </c>
      <c r="Q214">
        <v>38</v>
      </c>
      <c r="R214">
        <v>0.91528799999999999</v>
      </c>
      <c r="V214" s="10" cm="1">
        <f t="array" ref="V21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213)+1),6),"")</f>
        <v>0.56513199999999997</v>
      </c>
      <c r="W214" s="11">
        <f t="shared" si="11"/>
        <v>9265.1873631756753</v>
      </c>
      <c r="X214" s="15"/>
      <c r="Y214" s="13"/>
      <c r="Z214" s="10"/>
      <c r="AA214" s="11"/>
      <c r="AB214" s="12"/>
    </row>
    <row r="215" spans="1:28" x14ac:dyDescent="0.25">
      <c r="A215" s="9">
        <v>43</v>
      </c>
      <c r="B215">
        <v>0.93445800000000001</v>
      </c>
      <c r="C215">
        <f t="shared" si="9"/>
        <v>36</v>
      </c>
      <c r="D215">
        <v>0.92255600000000004</v>
      </c>
      <c r="E215" s="9">
        <f t="shared" si="10"/>
        <v>33</v>
      </c>
      <c r="F215">
        <v>0.91891299999999998</v>
      </c>
      <c r="G215" s="9">
        <v>43</v>
      </c>
      <c r="H215">
        <v>0.884162</v>
      </c>
      <c r="I215">
        <v>33</v>
      </c>
      <c r="J215">
        <v>0.865479</v>
      </c>
      <c r="K215">
        <v>33</v>
      </c>
      <c r="L215">
        <v>0.85863100000000003</v>
      </c>
      <c r="M215" s="9">
        <v>43</v>
      </c>
      <c r="N215">
        <v>0.92785499999999999</v>
      </c>
      <c r="O215">
        <v>31</v>
      </c>
      <c r="P215">
        <v>0.897281</v>
      </c>
      <c r="Q215">
        <v>37</v>
      </c>
      <c r="R215">
        <v>0.91215299999999999</v>
      </c>
      <c r="V215" s="10" cm="1">
        <f t="array" ref="V21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214)+1),6),"")</f>
        <v>0.56847499999999995</v>
      </c>
      <c r="W215" s="11">
        <f t="shared" si="11"/>
        <v>9319.9949503501684</v>
      </c>
      <c r="X215" s="15"/>
      <c r="Y215" s="13"/>
      <c r="Z215" s="10"/>
      <c r="AA215" s="11"/>
      <c r="AB215" s="12"/>
    </row>
    <row r="216" spans="1:28" x14ac:dyDescent="0.25">
      <c r="A216" s="9">
        <v>42</v>
      </c>
      <c r="B216">
        <v>0.931253</v>
      </c>
      <c r="C216">
        <f t="shared" si="9"/>
        <v>35</v>
      </c>
      <c r="D216">
        <v>0.92144199999999998</v>
      </c>
      <c r="E216" s="9">
        <f t="shared" si="10"/>
        <v>32</v>
      </c>
      <c r="F216">
        <v>0.91544700000000001</v>
      </c>
      <c r="G216" s="9">
        <v>42</v>
      </c>
      <c r="H216">
        <v>0.88140200000000002</v>
      </c>
      <c r="I216">
        <v>32</v>
      </c>
      <c r="J216">
        <v>0.862317</v>
      </c>
      <c r="K216">
        <v>32</v>
      </c>
      <c r="L216">
        <v>0.85588299999999995</v>
      </c>
      <c r="M216" s="9">
        <v>42</v>
      </c>
      <c r="N216">
        <v>0.92490399999999995</v>
      </c>
      <c r="O216">
        <v>30</v>
      </c>
      <c r="P216">
        <v>0.89444000000000001</v>
      </c>
      <c r="Q216">
        <v>36</v>
      </c>
      <c r="R216">
        <v>0.90935100000000002</v>
      </c>
      <c r="V216" s="10" cm="1">
        <f t="array" ref="V21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215)+1),6),"")</f>
        <v>0.57167999999999997</v>
      </c>
      <c r="W216" s="11">
        <f t="shared" si="11"/>
        <v>9372.5400645871578</v>
      </c>
      <c r="X216" s="15"/>
      <c r="Y216" s="13"/>
      <c r="Z216" s="10"/>
      <c r="AA216" s="11"/>
      <c r="AB216" s="12"/>
    </row>
    <row r="217" spans="1:28" x14ac:dyDescent="0.25">
      <c r="A217" s="9">
        <v>41</v>
      </c>
      <c r="B217">
        <v>0.928593</v>
      </c>
      <c r="C217">
        <f t="shared" si="9"/>
        <v>34</v>
      </c>
      <c r="D217">
        <v>0.91794600000000004</v>
      </c>
      <c r="E217" s="9">
        <f t="shared" si="10"/>
        <v>31</v>
      </c>
      <c r="F217">
        <v>0.90896299999999997</v>
      </c>
      <c r="G217" s="9">
        <v>41</v>
      </c>
      <c r="H217">
        <v>0.87857300000000005</v>
      </c>
      <c r="I217">
        <v>31</v>
      </c>
      <c r="J217">
        <v>0.85997000000000001</v>
      </c>
      <c r="K217">
        <v>31</v>
      </c>
      <c r="L217">
        <v>0.85099000000000002</v>
      </c>
      <c r="M217" s="9">
        <v>41</v>
      </c>
      <c r="N217">
        <v>0.92216900000000002</v>
      </c>
      <c r="O217">
        <v>29</v>
      </c>
      <c r="P217">
        <v>0.89092400000000005</v>
      </c>
      <c r="Q217">
        <v>35</v>
      </c>
      <c r="R217">
        <v>0.90546400000000005</v>
      </c>
      <c r="V217" s="10" cm="1">
        <f t="array" ref="V21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216)+1),6),"")</f>
        <v>0.57433999999999996</v>
      </c>
      <c r="W217" s="11">
        <f t="shared" si="11"/>
        <v>9416.1500501941446</v>
      </c>
      <c r="X217" s="15"/>
      <c r="Y217" s="13"/>
      <c r="Z217" s="10"/>
      <c r="AA217" s="11"/>
      <c r="AB217" s="12"/>
    </row>
    <row r="218" spans="1:28" x14ac:dyDescent="0.25">
      <c r="A218" s="9">
        <v>40</v>
      </c>
      <c r="B218">
        <v>0.92534300000000003</v>
      </c>
      <c r="C218">
        <f t="shared" si="9"/>
        <v>33</v>
      </c>
      <c r="D218">
        <v>0.91467299999999996</v>
      </c>
      <c r="E218" s="9">
        <f t="shared" si="10"/>
        <v>30</v>
      </c>
      <c r="F218">
        <v>0.90576900000000005</v>
      </c>
      <c r="G218" s="9">
        <v>40</v>
      </c>
      <c r="H218">
        <v>0.875807</v>
      </c>
      <c r="I218">
        <v>30</v>
      </c>
      <c r="J218">
        <v>0.85722399999999999</v>
      </c>
      <c r="K218">
        <v>30</v>
      </c>
      <c r="L218">
        <v>0.84804299999999999</v>
      </c>
      <c r="M218" s="9">
        <v>40</v>
      </c>
      <c r="N218">
        <v>0.919068</v>
      </c>
      <c r="O218">
        <v>28</v>
      </c>
      <c r="P218">
        <v>0.88824599999999998</v>
      </c>
      <c r="Q218">
        <v>34</v>
      </c>
      <c r="R218">
        <v>0.90299600000000002</v>
      </c>
      <c r="V218" s="10" cm="1">
        <f t="array" ref="V21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217)+1),6),"")</f>
        <v>0.57759000000000005</v>
      </c>
      <c r="W218" s="11">
        <f t="shared" si="11"/>
        <v>9469.4329273455387</v>
      </c>
      <c r="X218" s="15"/>
      <c r="Y218" s="13"/>
      <c r="Z218" s="10"/>
      <c r="AA218" s="11"/>
      <c r="AB218" s="12"/>
    </row>
    <row r="219" spans="1:28" x14ac:dyDescent="0.25">
      <c r="A219" s="9">
        <v>39</v>
      </c>
      <c r="B219">
        <v>0.92439199999999999</v>
      </c>
      <c r="C219">
        <f t="shared" si="9"/>
        <v>32</v>
      </c>
      <c r="D219">
        <v>0.91123299999999996</v>
      </c>
      <c r="E219" s="9">
        <f t="shared" si="10"/>
        <v>29</v>
      </c>
      <c r="F219">
        <v>0.90319799999999995</v>
      </c>
      <c r="G219" s="9">
        <v>39</v>
      </c>
      <c r="H219">
        <v>0.87300500000000003</v>
      </c>
      <c r="I219">
        <v>29</v>
      </c>
      <c r="J219">
        <v>0.854132</v>
      </c>
      <c r="K219">
        <v>29</v>
      </c>
      <c r="L219">
        <v>0.84540400000000004</v>
      </c>
      <c r="M219" s="9">
        <v>39</v>
      </c>
      <c r="N219">
        <v>0.91683000000000003</v>
      </c>
      <c r="O219">
        <v>27</v>
      </c>
      <c r="P219">
        <v>0.88492099999999996</v>
      </c>
      <c r="Q219">
        <v>33</v>
      </c>
      <c r="R219">
        <v>0.89980499999999997</v>
      </c>
      <c r="V219" s="10" cm="1">
        <f t="array" ref="V21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218)+1),6),"")</f>
        <v>0.57854099999999997</v>
      </c>
      <c r="W219" s="11">
        <f t="shared" si="11"/>
        <v>9485.0243169366058</v>
      </c>
      <c r="X219" s="15"/>
      <c r="Y219" s="13"/>
      <c r="Z219" s="10"/>
      <c r="AA219" s="11"/>
      <c r="AB219" s="12"/>
    </row>
    <row r="220" spans="1:28" x14ac:dyDescent="0.25">
      <c r="A220" s="9">
        <v>38</v>
      </c>
      <c r="B220">
        <v>0.92144700000000002</v>
      </c>
      <c r="C220">
        <f t="shared" si="9"/>
        <v>31</v>
      </c>
      <c r="D220">
        <v>0.90760300000000005</v>
      </c>
      <c r="E220" s="9">
        <f t="shared" si="10"/>
        <v>28</v>
      </c>
      <c r="F220">
        <v>0.89981999999999995</v>
      </c>
      <c r="G220" s="9">
        <v>38</v>
      </c>
      <c r="H220">
        <v>0.87051299999999998</v>
      </c>
      <c r="I220">
        <v>28</v>
      </c>
      <c r="J220">
        <v>0.85106999999999999</v>
      </c>
      <c r="K220">
        <v>28</v>
      </c>
      <c r="L220">
        <v>0.84280299999999997</v>
      </c>
      <c r="M220" s="9">
        <v>38</v>
      </c>
      <c r="N220">
        <v>0.913829</v>
      </c>
      <c r="O220">
        <v>26</v>
      </c>
      <c r="P220">
        <v>0.88200199999999995</v>
      </c>
      <c r="Q220">
        <v>32</v>
      </c>
      <c r="R220">
        <v>0.89714000000000005</v>
      </c>
      <c r="V220" s="10" cm="1">
        <f t="array" ref="V22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219)+1),6),"")</f>
        <v>0.58148599999999995</v>
      </c>
      <c r="W220" s="11">
        <f t="shared" si="11"/>
        <v>9533.3068010014831</v>
      </c>
      <c r="X220" s="15"/>
      <c r="Y220" s="13"/>
      <c r="Z220" s="10"/>
      <c r="AA220" s="11"/>
      <c r="AB220" s="12"/>
    </row>
    <row r="221" spans="1:28" x14ac:dyDescent="0.25">
      <c r="A221" s="9">
        <v>37</v>
      </c>
      <c r="B221">
        <v>0.91851799999999995</v>
      </c>
      <c r="C221">
        <f t="shared" si="9"/>
        <v>30</v>
      </c>
      <c r="D221">
        <v>0.90432000000000001</v>
      </c>
      <c r="E221" s="9">
        <f t="shared" si="10"/>
        <v>27</v>
      </c>
      <c r="F221">
        <v>0.898034</v>
      </c>
      <c r="G221" s="9">
        <v>37</v>
      </c>
      <c r="H221">
        <v>0.86777400000000005</v>
      </c>
      <c r="I221">
        <v>27</v>
      </c>
      <c r="J221">
        <v>0.84768600000000005</v>
      </c>
      <c r="K221">
        <v>27</v>
      </c>
      <c r="L221">
        <v>0.83872100000000005</v>
      </c>
      <c r="M221" s="9">
        <v>37</v>
      </c>
      <c r="N221">
        <v>0.91089399999999998</v>
      </c>
      <c r="O221">
        <v>25</v>
      </c>
      <c r="P221">
        <v>0.87844100000000003</v>
      </c>
      <c r="Q221">
        <v>31</v>
      </c>
      <c r="R221">
        <v>0.89376199999999995</v>
      </c>
      <c r="V221" s="10" cm="1">
        <f t="array" ref="V22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220)+1),6),"")</f>
        <v>0.58441500000000002</v>
      </c>
      <c r="W221" s="11">
        <f t="shared" si="11"/>
        <v>9581.3269693634629</v>
      </c>
      <c r="X221" s="15"/>
      <c r="Y221" s="13"/>
      <c r="Z221" s="10"/>
      <c r="AA221" s="11"/>
      <c r="AB221" s="12"/>
    </row>
    <row r="222" spans="1:28" x14ac:dyDescent="0.25">
      <c r="A222" s="9">
        <v>36</v>
      </c>
      <c r="B222">
        <v>0.91554599999999997</v>
      </c>
      <c r="C222">
        <f t="shared" si="9"/>
        <v>29</v>
      </c>
      <c r="D222">
        <v>0.90092499999999998</v>
      </c>
      <c r="E222" s="9">
        <f t="shared" si="10"/>
        <v>26</v>
      </c>
      <c r="F222">
        <v>0.89443399999999995</v>
      </c>
      <c r="G222" s="9">
        <v>36</v>
      </c>
      <c r="H222">
        <v>0.86482899999999996</v>
      </c>
      <c r="I222">
        <v>26</v>
      </c>
      <c r="J222">
        <v>0.84428800000000004</v>
      </c>
      <c r="K222">
        <v>26</v>
      </c>
      <c r="L222">
        <v>0.83610600000000002</v>
      </c>
      <c r="M222" s="9">
        <v>36</v>
      </c>
      <c r="N222">
        <v>0.90808199999999994</v>
      </c>
      <c r="O222">
        <v>24</v>
      </c>
      <c r="P222">
        <v>0.87555000000000005</v>
      </c>
      <c r="Q222">
        <v>30</v>
      </c>
      <c r="R222">
        <v>0.890876</v>
      </c>
      <c r="V222" s="10" cm="1">
        <f t="array" ref="V22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221)+1),6),"")</f>
        <v>0.58738699999999999</v>
      </c>
      <c r="W222" s="11">
        <f t="shared" si="11"/>
        <v>9630.0521111769831</v>
      </c>
      <c r="X222" s="15"/>
      <c r="Y222" s="13"/>
      <c r="Z222" s="10"/>
      <c r="AA222" s="11"/>
      <c r="AB222" s="12"/>
    </row>
    <row r="223" spans="1:28" x14ac:dyDescent="0.25">
      <c r="A223" s="9">
        <v>35</v>
      </c>
      <c r="B223">
        <v>0.912219</v>
      </c>
      <c r="C223">
        <f t="shared" si="9"/>
        <v>28</v>
      </c>
      <c r="D223">
        <v>0.89775700000000003</v>
      </c>
      <c r="E223" s="9">
        <f t="shared" si="10"/>
        <v>25</v>
      </c>
      <c r="F223">
        <v>0.89238099999999998</v>
      </c>
      <c r="G223" s="9">
        <v>35</v>
      </c>
      <c r="H223">
        <v>0.86117500000000002</v>
      </c>
      <c r="I223">
        <v>25</v>
      </c>
      <c r="J223">
        <v>0.84145199999999998</v>
      </c>
      <c r="K223">
        <v>25</v>
      </c>
      <c r="L223">
        <v>0.83333900000000005</v>
      </c>
      <c r="M223" s="9">
        <v>35</v>
      </c>
      <c r="N223">
        <v>0.90471199999999996</v>
      </c>
      <c r="O223">
        <v>23</v>
      </c>
      <c r="P223">
        <v>0.87271299999999996</v>
      </c>
      <c r="Q223">
        <v>29</v>
      </c>
      <c r="R223">
        <v>0.88783299999999998</v>
      </c>
      <c r="V223" s="10" cm="1">
        <f t="array" ref="V22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222)+1),6),"")</f>
        <v>0.59071399999999996</v>
      </c>
      <c r="W223" s="11">
        <f t="shared" si="11"/>
        <v>9684.597382648577</v>
      </c>
      <c r="X223" s="15"/>
      <c r="Y223" s="13"/>
      <c r="Z223" s="10"/>
      <c r="AA223" s="11"/>
      <c r="AB223" s="12"/>
    </row>
    <row r="224" spans="1:28" x14ac:dyDescent="0.25">
      <c r="A224" s="9">
        <v>34</v>
      </c>
      <c r="B224">
        <v>0.90929800000000005</v>
      </c>
      <c r="C224">
        <f t="shared" si="9"/>
        <v>27</v>
      </c>
      <c r="D224">
        <v>0.89641800000000005</v>
      </c>
      <c r="E224" s="9">
        <f t="shared" si="10"/>
        <v>24</v>
      </c>
      <c r="F224">
        <v>0.88875599999999999</v>
      </c>
      <c r="G224" s="9">
        <v>34</v>
      </c>
      <c r="H224">
        <v>0.85843000000000003</v>
      </c>
      <c r="I224">
        <v>24</v>
      </c>
      <c r="J224">
        <v>0.83861799999999997</v>
      </c>
      <c r="K224">
        <v>24</v>
      </c>
      <c r="L224">
        <v>0.83031699999999997</v>
      </c>
      <c r="M224" s="9">
        <v>34</v>
      </c>
      <c r="N224">
        <v>0.90184200000000003</v>
      </c>
      <c r="O224">
        <v>22</v>
      </c>
      <c r="P224">
        <v>0.87000200000000005</v>
      </c>
      <c r="Q224">
        <v>28</v>
      </c>
      <c r="R224">
        <v>0.88502999999999998</v>
      </c>
      <c r="V224" s="10" cm="1">
        <f t="array" ref="V22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223)+1),6),"")</f>
        <v>0.59363500000000002</v>
      </c>
      <c r="W224" s="11">
        <f t="shared" si="11"/>
        <v>9732.4863931591062</v>
      </c>
      <c r="X224" s="15"/>
      <c r="Y224" s="13"/>
      <c r="Z224" s="10"/>
      <c r="AA224" s="11"/>
      <c r="AB224" s="12"/>
    </row>
    <row r="225" spans="1:28" x14ac:dyDescent="0.25">
      <c r="A225" s="9">
        <v>33</v>
      </c>
      <c r="B225">
        <v>0.90653799999999995</v>
      </c>
      <c r="C225">
        <f t="shared" si="9"/>
        <v>26</v>
      </c>
      <c r="D225">
        <v>0.893181</v>
      </c>
      <c r="E225" s="9">
        <f t="shared" si="10"/>
        <v>23</v>
      </c>
      <c r="F225">
        <v>0.88379300000000005</v>
      </c>
      <c r="G225" s="9">
        <v>33</v>
      </c>
      <c r="H225">
        <v>0.85554300000000005</v>
      </c>
      <c r="I225">
        <v>23</v>
      </c>
      <c r="J225">
        <v>0.83445999999999998</v>
      </c>
      <c r="K225">
        <v>23</v>
      </c>
      <c r="L225">
        <v>0.826434</v>
      </c>
      <c r="M225" s="9">
        <v>33</v>
      </c>
      <c r="N225">
        <v>0.89902000000000004</v>
      </c>
      <c r="O225">
        <v>21</v>
      </c>
      <c r="P225">
        <v>0.86659900000000001</v>
      </c>
      <c r="Q225">
        <v>27</v>
      </c>
      <c r="R225">
        <v>0.88148800000000005</v>
      </c>
      <c r="V225" s="10" cm="1">
        <f t="array" ref="V22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224)+1),6),"")</f>
        <v>0.59639500000000001</v>
      </c>
      <c r="W225" s="11">
        <f t="shared" si="11"/>
        <v>9777.7358519092122</v>
      </c>
      <c r="X225" s="15"/>
      <c r="Y225" s="13"/>
      <c r="Z225" s="10"/>
      <c r="AA225" s="11"/>
      <c r="AB225" s="12"/>
    </row>
    <row r="226" spans="1:28" x14ac:dyDescent="0.25">
      <c r="A226" s="9">
        <v>32</v>
      </c>
      <c r="B226">
        <v>0.90336300000000003</v>
      </c>
      <c r="C226">
        <f t="shared" si="9"/>
        <v>25</v>
      </c>
      <c r="D226">
        <v>0.88952100000000001</v>
      </c>
      <c r="E226" s="9">
        <f t="shared" si="10"/>
        <v>22</v>
      </c>
      <c r="F226">
        <v>0.88021400000000005</v>
      </c>
      <c r="G226" s="9">
        <v>32</v>
      </c>
      <c r="H226">
        <v>0.85269799999999996</v>
      </c>
      <c r="I226">
        <v>22</v>
      </c>
      <c r="J226">
        <v>0.83122600000000002</v>
      </c>
      <c r="K226">
        <v>22</v>
      </c>
      <c r="L226">
        <v>0.823681</v>
      </c>
      <c r="M226" s="9">
        <v>32</v>
      </c>
      <c r="N226">
        <v>0.89591699999999996</v>
      </c>
      <c r="O226">
        <v>20</v>
      </c>
      <c r="P226">
        <v>0.86367099999999997</v>
      </c>
      <c r="Q226">
        <v>26</v>
      </c>
      <c r="R226">
        <v>0.87880400000000003</v>
      </c>
      <c r="V226" s="10" cm="1">
        <f t="array" ref="V22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225)+1),6),"")</f>
        <v>0.59957000000000005</v>
      </c>
      <c r="W226" s="11">
        <f t="shared" si="11"/>
        <v>9829.7891242032656</v>
      </c>
      <c r="X226" s="15"/>
      <c r="Y226" s="13"/>
      <c r="Z226" s="10"/>
      <c r="AA226" s="11"/>
      <c r="AB226" s="12"/>
    </row>
    <row r="227" spans="1:28" x14ac:dyDescent="0.25">
      <c r="A227" s="9">
        <v>31</v>
      </c>
      <c r="B227">
        <v>0.901617</v>
      </c>
      <c r="C227">
        <f t="shared" si="9"/>
        <v>24</v>
      </c>
      <c r="D227">
        <v>0.886459</v>
      </c>
      <c r="E227" s="9">
        <f t="shared" si="10"/>
        <v>21</v>
      </c>
      <c r="F227">
        <v>0.87802100000000005</v>
      </c>
      <c r="G227" s="9">
        <v>31</v>
      </c>
      <c r="H227">
        <v>0.84936900000000004</v>
      </c>
      <c r="I227">
        <v>21</v>
      </c>
      <c r="J227">
        <v>0.82833299999999999</v>
      </c>
      <c r="K227">
        <v>21</v>
      </c>
      <c r="L227">
        <v>0.82074199999999997</v>
      </c>
      <c r="M227" s="9">
        <v>31</v>
      </c>
      <c r="N227">
        <v>0.88701700000000006</v>
      </c>
      <c r="O227">
        <v>19</v>
      </c>
      <c r="P227">
        <v>0.86033300000000001</v>
      </c>
      <c r="Q227">
        <v>25</v>
      </c>
      <c r="R227">
        <v>0.87531899999999996</v>
      </c>
      <c r="V227" s="10" cm="1">
        <f t="array" ref="V22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226)+1),6),"")</f>
        <v>0.60131599999999996</v>
      </c>
      <c r="W227" s="11">
        <f t="shared" si="11"/>
        <v>9858.4143252821359</v>
      </c>
      <c r="X227" s="15"/>
      <c r="Y227" s="13"/>
      <c r="Z227" s="10"/>
      <c r="AA227" s="11"/>
      <c r="AB227" s="12"/>
    </row>
    <row r="228" spans="1:28" x14ac:dyDescent="0.25">
      <c r="A228" s="9">
        <v>30</v>
      </c>
      <c r="B228">
        <v>0.89865700000000004</v>
      </c>
      <c r="C228">
        <f t="shared" si="9"/>
        <v>23</v>
      </c>
      <c r="D228">
        <v>0.88370800000000005</v>
      </c>
      <c r="E228" s="9">
        <f t="shared" si="10"/>
        <v>20</v>
      </c>
      <c r="F228">
        <v>0.87452300000000005</v>
      </c>
      <c r="G228" s="9">
        <v>30</v>
      </c>
      <c r="H228">
        <v>0.84648500000000004</v>
      </c>
      <c r="I228">
        <v>20</v>
      </c>
      <c r="J228">
        <v>0.82514600000000005</v>
      </c>
      <c r="K228">
        <v>20</v>
      </c>
      <c r="L228">
        <v>0.81804299999999996</v>
      </c>
      <c r="M228" s="9">
        <v>30</v>
      </c>
      <c r="N228">
        <v>0.88382799999999995</v>
      </c>
      <c r="O228">
        <v>18</v>
      </c>
      <c r="P228">
        <v>0.85729200000000005</v>
      </c>
      <c r="Q228">
        <v>24</v>
      </c>
      <c r="R228">
        <v>0.87258800000000003</v>
      </c>
      <c r="V228" s="10" cm="1">
        <f t="array" ref="V22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227)+1),6),"")</f>
        <v>0.60427600000000004</v>
      </c>
      <c r="W228" s="11">
        <f t="shared" si="11"/>
        <v>9906.9427303184821</v>
      </c>
      <c r="X228" s="15"/>
      <c r="Y228" s="13"/>
      <c r="Z228" s="10"/>
      <c r="AA228" s="11"/>
      <c r="AB228" s="12"/>
    </row>
    <row r="229" spans="1:28" x14ac:dyDescent="0.25">
      <c r="A229" s="9">
        <v>29</v>
      </c>
      <c r="B229">
        <v>0.89584699999999995</v>
      </c>
      <c r="C229">
        <f t="shared" si="9"/>
        <v>22</v>
      </c>
      <c r="D229">
        <v>0.88029800000000002</v>
      </c>
      <c r="E229" s="9">
        <f t="shared" si="10"/>
        <v>19</v>
      </c>
      <c r="F229">
        <v>0.872637</v>
      </c>
      <c r="G229" s="9">
        <v>29</v>
      </c>
      <c r="H229">
        <v>0.84376799999999996</v>
      </c>
      <c r="I229">
        <v>19</v>
      </c>
      <c r="J229">
        <v>0.82166700000000004</v>
      </c>
      <c r="K229">
        <v>19</v>
      </c>
      <c r="L229">
        <v>0.81380200000000003</v>
      </c>
      <c r="M229" s="9">
        <v>29</v>
      </c>
      <c r="N229">
        <v>0.88113699999999995</v>
      </c>
      <c r="O229">
        <v>17</v>
      </c>
      <c r="P229">
        <v>0.85359200000000002</v>
      </c>
      <c r="Q229">
        <v>23</v>
      </c>
      <c r="R229">
        <v>0.86997999999999998</v>
      </c>
      <c r="V229" s="10" cm="1">
        <f t="array" ref="V22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228)+1),6),"")</f>
        <v>0.60708600000000001</v>
      </c>
      <c r="W229" s="11">
        <f t="shared" si="11"/>
        <v>9953.0119256401485</v>
      </c>
      <c r="X229" s="15"/>
      <c r="Y229" s="13"/>
      <c r="Z229" s="10"/>
      <c r="AA229" s="11"/>
      <c r="AB229" s="12"/>
    </row>
    <row r="230" spans="1:28" x14ac:dyDescent="0.25">
      <c r="A230" s="9">
        <v>28</v>
      </c>
      <c r="B230">
        <v>0.89285800000000004</v>
      </c>
      <c r="C230">
        <f t="shared" si="9"/>
        <v>21</v>
      </c>
      <c r="D230">
        <v>0.87665000000000004</v>
      </c>
      <c r="E230" s="9">
        <f t="shared" si="10"/>
        <v>18</v>
      </c>
      <c r="F230">
        <v>0.86915500000000001</v>
      </c>
      <c r="G230" s="9">
        <v>28</v>
      </c>
      <c r="H230">
        <v>0.84071600000000002</v>
      </c>
      <c r="I230">
        <v>18</v>
      </c>
      <c r="J230">
        <v>0.81856300000000004</v>
      </c>
      <c r="K230">
        <v>18</v>
      </c>
      <c r="L230">
        <v>0.81134799999999996</v>
      </c>
      <c r="M230" s="9">
        <v>28</v>
      </c>
      <c r="N230">
        <v>0.878251</v>
      </c>
      <c r="O230">
        <v>16</v>
      </c>
      <c r="P230">
        <v>0.85074099999999997</v>
      </c>
      <c r="Q230">
        <v>22</v>
      </c>
      <c r="R230">
        <v>0.86719800000000002</v>
      </c>
      <c r="V230" s="10" cm="1">
        <f t="array" ref="V23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229)+1),6),"")</f>
        <v>0.61007500000000003</v>
      </c>
      <c r="W230" s="11">
        <f t="shared" si="11"/>
        <v>10002.015777887998</v>
      </c>
      <c r="X230" s="15"/>
      <c r="Y230" s="13"/>
      <c r="Z230" s="10"/>
      <c r="AA230" s="11"/>
      <c r="AB230" s="12"/>
    </row>
    <row r="231" spans="1:28" x14ac:dyDescent="0.25">
      <c r="A231" s="9">
        <v>27</v>
      </c>
      <c r="B231">
        <v>0.88962600000000003</v>
      </c>
      <c r="C231">
        <f t="shared" si="9"/>
        <v>20</v>
      </c>
      <c r="D231">
        <v>0.87388999999999994</v>
      </c>
      <c r="E231" s="9">
        <f t="shared" si="10"/>
        <v>17</v>
      </c>
      <c r="F231">
        <v>0.86672199999999999</v>
      </c>
      <c r="G231" s="9">
        <v>27</v>
      </c>
      <c r="H231">
        <v>0.83710899999999999</v>
      </c>
      <c r="I231">
        <v>17</v>
      </c>
      <c r="J231">
        <v>0.81570799999999999</v>
      </c>
      <c r="K231">
        <v>17</v>
      </c>
      <c r="L231">
        <v>0.80854099999999995</v>
      </c>
      <c r="M231" s="9">
        <v>27</v>
      </c>
      <c r="N231">
        <v>0.87503299999999995</v>
      </c>
      <c r="O231">
        <v>15</v>
      </c>
      <c r="P231">
        <v>0.84994400000000003</v>
      </c>
      <c r="Q231">
        <v>21</v>
      </c>
      <c r="R231">
        <v>0.86393799999999998</v>
      </c>
      <c r="V231" s="10" cm="1">
        <f t="array" ref="V23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230)+1),6),"")</f>
        <v>0.61330700000000005</v>
      </c>
      <c r="W231" s="11">
        <f t="shared" si="11"/>
        <v>10055.003549873631</v>
      </c>
      <c r="X231" s="15"/>
      <c r="Y231" s="13"/>
      <c r="Z231" s="10"/>
      <c r="AA231" s="11"/>
      <c r="AB231" s="12"/>
    </row>
    <row r="232" spans="1:28" x14ac:dyDescent="0.25">
      <c r="A232" s="9">
        <v>26</v>
      </c>
      <c r="B232">
        <v>0.88658700000000001</v>
      </c>
      <c r="C232">
        <f t="shared" si="9"/>
        <v>19</v>
      </c>
      <c r="D232">
        <v>0.87238899999999997</v>
      </c>
      <c r="E232" s="9">
        <f t="shared" si="10"/>
        <v>16</v>
      </c>
      <c r="F232">
        <v>0.86364600000000002</v>
      </c>
      <c r="G232" s="9">
        <v>26</v>
      </c>
      <c r="H232">
        <v>0.83443900000000004</v>
      </c>
      <c r="I232">
        <v>16</v>
      </c>
      <c r="J232">
        <v>0.81240100000000004</v>
      </c>
      <c r="K232">
        <v>16</v>
      </c>
      <c r="L232">
        <v>0.80586800000000003</v>
      </c>
      <c r="M232" s="9">
        <v>26</v>
      </c>
      <c r="N232">
        <v>0.87197100000000005</v>
      </c>
      <c r="O232">
        <v>14</v>
      </c>
      <c r="P232">
        <v>0.84684300000000001</v>
      </c>
      <c r="Q232">
        <v>20</v>
      </c>
      <c r="R232">
        <v>0.86096600000000001</v>
      </c>
      <c r="V232" s="10" cm="1">
        <f t="array" ref="V23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231)+1),6),"")</f>
        <v>0.61634599999999995</v>
      </c>
      <c r="W232" s="11">
        <f t="shared" si="11"/>
        <v>10104.827138693039</v>
      </c>
      <c r="X232" s="15"/>
      <c r="Y232" s="13"/>
      <c r="Z232" s="10"/>
      <c r="AA232" s="11"/>
      <c r="AB232" s="12"/>
    </row>
    <row r="233" spans="1:28" x14ac:dyDescent="0.25">
      <c r="A233" s="9">
        <v>25</v>
      </c>
      <c r="B233">
        <v>0.88354100000000002</v>
      </c>
      <c r="C233">
        <f t="shared" si="9"/>
        <v>18</v>
      </c>
      <c r="D233">
        <v>0.86926000000000003</v>
      </c>
      <c r="E233" s="9">
        <f t="shared" si="10"/>
        <v>15</v>
      </c>
      <c r="F233">
        <v>0.860869</v>
      </c>
      <c r="G233" s="9">
        <v>25</v>
      </c>
      <c r="H233">
        <v>0.83146699999999996</v>
      </c>
      <c r="I233">
        <v>15</v>
      </c>
      <c r="J233">
        <v>0.81312799999999996</v>
      </c>
      <c r="K233">
        <v>15</v>
      </c>
      <c r="L233">
        <v>0.80499100000000001</v>
      </c>
      <c r="M233" s="9">
        <v>25</v>
      </c>
      <c r="N233">
        <v>0.86900500000000003</v>
      </c>
      <c r="O233">
        <v>13</v>
      </c>
      <c r="P233">
        <v>0.84336599999999995</v>
      </c>
      <c r="Q233">
        <v>19</v>
      </c>
      <c r="R233">
        <v>0.857514</v>
      </c>
      <c r="V233" s="10" cm="1">
        <f t="array" ref="V23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232)+1),6),"")</f>
        <v>0.61939200000000005</v>
      </c>
      <c r="W233" s="11">
        <f t="shared" si="11"/>
        <v>10154.76549063247</v>
      </c>
      <c r="X233" s="15"/>
      <c r="Y233" s="13"/>
      <c r="Z233" s="10"/>
      <c r="AA233" s="11"/>
      <c r="AB233" s="12"/>
    </row>
    <row r="234" spans="1:28" x14ac:dyDescent="0.25">
      <c r="A234" s="9">
        <v>24</v>
      </c>
      <c r="B234">
        <v>0.88067099999999998</v>
      </c>
      <c r="C234">
        <f t="shared" si="9"/>
        <v>17</v>
      </c>
      <c r="D234">
        <v>0.86530700000000005</v>
      </c>
      <c r="E234" s="9">
        <f t="shared" si="10"/>
        <v>14</v>
      </c>
      <c r="F234">
        <v>0.85732699999999995</v>
      </c>
      <c r="G234" s="9">
        <v>24</v>
      </c>
      <c r="H234">
        <v>0.82856399999999997</v>
      </c>
      <c r="I234">
        <v>14</v>
      </c>
      <c r="J234">
        <v>0.81035000000000001</v>
      </c>
      <c r="K234">
        <v>14</v>
      </c>
      <c r="L234">
        <v>0.80215899999999996</v>
      </c>
      <c r="M234" s="9">
        <v>24</v>
      </c>
      <c r="N234">
        <v>0.86619400000000002</v>
      </c>
      <c r="O234">
        <v>12</v>
      </c>
      <c r="P234">
        <v>0.84018599999999999</v>
      </c>
      <c r="Q234">
        <v>18</v>
      </c>
      <c r="R234">
        <v>0.85477800000000004</v>
      </c>
      <c r="V234" s="10" cm="1">
        <f t="array" ref="V23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233)+1),6),"")</f>
        <v>0.62226199999999998</v>
      </c>
      <c r="W234" s="11">
        <f t="shared" si="11"/>
        <v>10201.818369840006</v>
      </c>
      <c r="X234" s="15"/>
      <c r="Y234" s="13"/>
      <c r="Z234" s="10"/>
      <c r="AA234" s="11"/>
      <c r="AB234" s="12"/>
    </row>
    <row r="235" spans="1:28" x14ac:dyDescent="0.25">
      <c r="A235" s="9">
        <v>23</v>
      </c>
      <c r="B235">
        <v>0.87973800000000002</v>
      </c>
      <c r="C235">
        <f t="shared" si="9"/>
        <v>16</v>
      </c>
      <c r="D235">
        <v>0.86236900000000005</v>
      </c>
      <c r="E235" s="9">
        <f t="shared" si="10"/>
        <v>13</v>
      </c>
      <c r="F235">
        <v>0.85497999999999996</v>
      </c>
      <c r="G235" s="9">
        <v>23</v>
      </c>
      <c r="H235">
        <v>0.82604299999999997</v>
      </c>
      <c r="I235">
        <v>13</v>
      </c>
      <c r="J235">
        <v>0.80737499999999995</v>
      </c>
      <c r="K235">
        <v>13</v>
      </c>
      <c r="L235">
        <v>0.79943200000000003</v>
      </c>
      <c r="M235" s="9">
        <v>23</v>
      </c>
      <c r="N235">
        <v>0.86359600000000003</v>
      </c>
      <c r="O235">
        <v>11</v>
      </c>
      <c r="P235">
        <v>0.83707399999999998</v>
      </c>
      <c r="Q235">
        <v>17</v>
      </c>
      <c r="R235">
        <v>0.85131900000000005</v>
      </c>
      <c r="V235" s="10" cm="1">
        <f t="array" ref="V23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234)+1),6),"")</f>
        <v>0.62319500000000005</v>
      </c>
      <c r="W235" s="11">
        <f t="shared" si="11"/>
        <v>10217.114654265315</v>
      </c>
      <c r="X235" s="15"/>
      <c r="Y235" s="13"/>
      <c r="Z235" s="10"/>
      <c r="AA235" s="11"/>
      <c r="AB235" s="12"/>
    </row>
    <row r="236" spans="1:28" x14ac:dyDescent="0.25">
      <c r="A236" s="9">
        <v>22</v>
      </c>
      <c r="B236">
        <v>0.87655799999999995</v>
      </c>
      <c r="C236">
        <f t="shared" si="9"/>
        <v>15</v>
      </c>
      <c r="D236">
        <v>0.86100600000000005</v>
      </c>
      <c r="E236" s="9">
        <f t="shared" si="10"/>
        <v>12</v>
      </c>
      <c r="F236">
        <v>0.85147799999999996</v>
      </c>
      <c r="G236" s="9">
        <v>22</v>
      </c>
      <c r="H236">
        <v>0.82307399999999997</v>
      </c>
      <c r="I236">
        <v>12</v>
      </c>
      <c r="J236">
        <v>0.80421900000000002</v>
      </c>
      <c r="K236">
        <v>12</v>
      </c>
      <c r="L236">
        <v>0.79677200000000004</v>
      </c>
      <c r="M236" s="9">
        <v>22</v>
      </c>
      <c r="N236">
        <v>0.86043000000000003</v>
      </c>
      <c r="O236">
        <v>10</v>
      </c>
      <c r="P236">
        <v>0.83401899999999995</v>
      </c>
      <c r="Q236">
        <v>16</v>
      </c>
      <c r="R236">
        <v>0.84861399999999998</v>
      </c>
      <c r="V236" s="10" cm="1">
        <f t="array" ref="V23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235)+1),6),"")</f>
        <v>0.62637500000000002</v>
      </c>
      <c r="W236" s="11">
        <f t="shared" si="11"/>
        <v>10269.249900216522</v>
      </c>
      <c r="X236" s="15"/>
      <c r="Y236" s="13"/>
      <c r="Z236" s="10"/>
      <c r="AA236" s="11"/>
      <c r="AB236" s="12"/>
    </row>
    <row r="237" spans="1:28" x14ac:dyDescent="0.25">
      <c r="A237" s="9">
        <v>21</v>
      </c>
      <c r="B237">
        <v>0.87356699999999998</v>
      </c>
      <c r="C237">
        <f t="shared" si="9"/>
        <v>14</v>
      </c>
      <c r="D237">
        <v>0.85783299999999996</v>
      </c>
      <c r="E237" s="9">
        <f t="shared" si="10"/>
        <v>11</v>
      </c>
      <c r="F237">
        <v>0.84979300000000002</v>
      </c>
      <c r="G237" s="9">
        <v>21</v>
      </c>
      <c r="H237">
        <v>0.82045800000000002</v>
      </c>
      <c r="I237">
        <v>11</v>
      </c>
      <c r="J237">
        <v>0.80071000000000003</v>
      </c>
      <c r="K237">
        <v>11</v>
      </c>
      <c r="L237">
        <v>0.79287799999999997</v>
      </c>
      <c r="M237" s="9">
        <v>21</v>
      </c>
      <c r="N237">
        <v>0.85773500000000003</v>
      </c>
      <c r="O237">
        <v>9</v>
      </c>
      <c r="P237">
        <v>0.83048900000000003</v>
      </c>
      <c r="Q237">
        <v>15</v>
      </c>
      <c r="R237">
        <v>0.84557700000000002</v>
      </c>
      <c r="V237" s="10" cm="1">
        <f t="array" ref="V23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236)+1),6),"")</f>
        <v>0.62936599999999998</v>
      </c>
      <c r="W237" s="11">
        <f t="shared" si="11"/>
        <v>10318.286541927235</v>
      </c>
      <c r="X237" s="15"/>
      <c r="Y237" s="13"/>
      <c r="Z237" s="10"/>
      <c r="AA237" s="11"/>
      <c r="AB237" s="12"/>
    </row>
    <row r="238" spans="1:28" x14ac:dyDescent="0.25">
      <c r="A238" s="9">
        <v>20</v>
      </c>
      <c r="B238">
        <v>0.87033499999999997</v>
      </c>
      <c r="C238">
        <f t="shared" si="9"/>
        <v>13</v>
      </c>
      <c r="D238">
        <v>0.85433800000000004</v>
      </c>
      <c r="E238" s="9">
        <f t="shared" si="10"/>
        <v>10</v>
      </c>
      <c r="F238">
        <v>0.84640000000000004</v>
      </c>
      <c r="G238" s="9">
        <v>20</v>
      </c>
      <c r="H238">
        <v>0.81753699999999996</v>
      </c>
      <c r="I238">
        <v>10</v>
      </c>
      <c r="J238">
        <v>0.79748399999999997</v>
      </c>
      <c r="K238">
        <v>10</v>
      </c>
      <c r="L238">
        <v>0.79017700000000002</v>
      </c>
      <c r="M238" s="9">
        <v>20</v>
      </c>
      <c r="N238">
        <v>0.85466500000000001</v>
      </c>
      <c r="O238">
        <v>8</v>
      </c>
      <c r="P238">
        <v>0.82750699999999999</v>
      </c>
      <c r="Q238">
        <v>14</v>
      </c>
      <c r="R238">
        <v>0.84303399999999995</v>
      </c>
      <c r="V238" s="10" cm="1">
        <f t="array" ref="V23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237)+1),6),"")</f>
        <v>0.63259799999999999</v>
      </c>
      <c r="W238" s="11">
        <f t="shared" si="11"/>
        <v>10371.274313912867</v>
      </c>
      <c r="X238" s="15"/>
      <c r="Y238" s="13"/>
      <c r="Z238" s="10"/>
      <c r="AA238" s="11"/>
      <c r="AB238" s="12"/>
    </row>
    <row r="239" spans="1:28" x14ac:dyDescent="0.25">
      <c r="A239" s="9">
        <v>19</v>
      </c>
      <c r="B239">
        <v>0.86722399999999999</v>
      </c>
      <c r="C239">
        <f t="shared" si="9"/>
        <v>12</v>
      </c>
      <c r="D239">
        <v>0.85114900000000004</v>
      </c>
      <c r="E239" s="9">
        <f t="shared" si="10"/>
        <v>9</v>
      </c>
      <c r="F239">
        <v>0.84394999999999998</v>
      </c>
      <c r="G239" s="9">
        <v>19</v>
      </c>
      <c r="H239">
        <v>0.81396400000000002</v>
      </c>
      <c r="I239">
        <v>9</v>
      </c>
      <c r="J239">
        <v>0.79467900000000002</v>
      </c>
      <c r="K239">
        <v>9</v>
      </c>
      <c r="L239">
        <v>0.78703000000000001</v>
      </c>
      <c r="M239" s="9">
        <v>19</v>
      </c>
      <c r="N239">
        <v>0.85130300000000003</v>
      </c>
      <c r="O239">
        <v>7</v>
      </c>
      <c r="P239">
        <v>0.82469099999999995</v>
      </c>
      <c r="Q239">
        <v>13</v>
      </c>
      <c r="R239">
        <v>0.83977800000000002</v>
      </c>
      <c r="V239" s="10" cm="1">
        <f t="array" ref="V23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238)+1),6),"")</f>
        <v>0.63570899999999997</v>
      </c>
      <c r="W239" s="11">
        <f t="shared" si="11"/>
        <v>10422.278323395321</v>
      </c>
      <c r="X239" s="15"/>
      <c r="Y239" s="13"/>
      <c r="Z239" s="10"/>
      <c r="AA239" s="11"/>
      <c r="AB239" s="12"/>
    </row>
    <row r="240" spans="1:28" x14ac:dyDescent="0.25">
      <c r="A240" s="9">
        <v>18</v>
      </c>
      <c r="B240">
        <v>0.86397299999999999</v>
      </c>
      <c r="C240">
        <f t="shared" si="9"/>
        <v>11</v>
      </c>
      <c r="D240">
        <v>0.849657</v>
      </c>
      <c r="E240" s="9">
        <f t="shared" si="10"/>
        <v>8</v>
      </c>
      <c r="F240">
        <v>0.84043500000000004</v>
      </c>
      <c r="G240" s="9">
        <v>18</v>
      </c>
      <c r="H240">
        <v>0.81095799999999996</v>
      </c>
      <c r="I240">
        <v>8</v>
      </c>
      <c r="J240">
        <v>0.79135500000000003</v>
      </c>
      <c r="K240">
        <v>8</v>
      </c>
      <c r="L240">
        <v>0.78445699999999996</v>
      </c>
      <c r="M240" s="9">
        <v>18</v>
      </c>
      <c r="N240">
        <v>0.84845700000000002</v>
      </c>
      <c r="O240">
        <v>6</v>
      </c>
      <c r="P240">
        <v>0.82162900000000005</v>
      </c>
      <c r="Q240">
        <v>12</v>
      </c>
      <c r="R240">
        <v>0.83692299999999997</v>
      </c>
      <c r="V240" s="10" cm="1">
        <f t="array" ref="V24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239)+1),6),"")</f>
        <v>0.63895999999999997</v>
      </c>
      <c r="W240" s="11">
        <f t="shared" si="11"/>
        <v>10475.577595278146</v>
      </c>
      <c r="X240" s="15"/>
      <c r="Y240" s="13"/>
      <c r="Z240" s="10"/>
      <c r="AA240" s="11"/>
      <c r="AB240" s="12"/>
    </row>
    <row r="241" spans="1:28" x14ac:dyDescent="0.25">
      <c r="A241" s="9">
        <v>17</v>
      </c>
      <c r="B241">
        <v>0.86140399999999995</v>
      </c>
      <c r="C241">
        <f t="shared" si="9"/>
        <v>10</v>
      </c>
      <c r="D241">
        <v>0.84651699999999996</v>
      </c>
      <c r="E241" s="9">
        <f t="shared" si="10"/>
        <v>7</v>
      </c>
      <c r="F241">
        <v>0.83491499999999996</v>
      </c>
      <c r="G241" s="9">
        <v>17</v>
      </c>
      <c r="H241">
        <v>0.80815700000000001</v>
      </c>
      <c r="I241">
        <v>7</v>
      </c>
      <c r="J241">
        <v>0.78732800000000003</v>
      </c>
      <c r="K241">
        <v>7</v>
      </c>
      <c r="L241">
        <v>0.78040500000000002</v>
      </c>
      <c r="M241" s="9">
        <v>17</v>
      </c>
      <c r="N241">
        <v>0.84540599999999999</v>
      </c>
      <c r="O241">
        <v>5</v>
      </c>
      <c r="P241">
        <v>0.81807399999999997</v>
      </c>
      <c r="Q241">
        <v>11</v>
      </c>
      <c r="R241">
        <v>0.833372</v>
      </c>
      <c r="V241" s="10" cm="1">
        <f t="array" ref="V24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240)+1),6),"")</f>
        <v>0.64152900000000002</v>
      </c>
      <c r="W241" s="11">
        <f t="shared" si="11"/>
        <v>10517.695660324895</v>
      </c>
      <c r="X241" s="15"/>
      <c r="Y241" s="13"/>
      <c r="Z241" s="10"/>
      <c r="AA241" s="11"/>
      <c r="AB241" s="12"/>
    </row>
    <row r="242" spans="1:28" x14ac:dyDescent="0.25">
      <c r="A242" s="9">
        <v>16</v>
      </c>
      <c r="B242">
        <v>0.85821400000000003</v>
      </c>
      <c r="C242">
        <f t="shared" si="9"/>
        <v>9</v>
      </c>
      <c r="D242">
        <v>0.842947</v>
      </c>
      <c r="E242" s="9">
        <f t="shared" si="10"/>
        <v>6</v>
      </c>
      <c r="F242">
        <v>0.83141200000000004</v>
      </c>
      <c r="G242" s="9">
        <v>16</v>
      </c>
      <c r="H242">
        <v>0.80515499999999995</v>
      </c>
      <c r="I242">
        <v>6</v>
      </c>
      <c r="J242">
        <v>0.78421799999999997</v>
      </c>
      <c r="K242">
        <v>6</v>
      </c>
      <c r="L242">
        <v>0.77773099999999995</v>
      </c>
      <c r="M242" s="9">
        <v>16</v>
      </c>
      <c r="N242">
        <v>0.84242499999999998</v>
      </c>
      <c r="O242">
        <v>4</v>
      </c>
      <c r="P242">
        <v>0.815056</v>
      </c>
      <c r="Q242">
        <v>10</v>
      </c>
      <c r="R242">
        <v>0.83041900000000002</v>
      </c>
      <c r="V242" s="10" cm="1">
        <f t="array" ref="V24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241)+1),6),"")</f>
        <v>0.64471900000000004</v>
      </c>
      <c r="W242" s="11">
        <f t="shared" si="11"/>
        <v>10569.994853590415</v>
      </c>
      <c r="X242" s="15"/>
      <c r="Y242" s="13"/>
      <c r="Z242" s="10"/>
      <c r="AA242" s="11"/>
      <c r="AB242" s="12"/>
    </row>
    <row r="243" spans="1:28" x14ac:dyDescent="0.25">
      <c r="A243" s="9">
        <v>15</v>
      </c>
      <c r="B243">
        <v>0.85373299999999996</v>
      </c>
      <c r="C243">
        <f t="shared" si="9"/>
        <v>8</v>
      </c>
      <c r="D243">
        <v>0.83960400000000002</v>
      </c>
      <c r="E243" s="9">
        <f t="shared" si="10"/>
        <v>5</v>
      </c>
      <c r="F243">
        <v>0.82920899999999997</v>
      </c>
      <c r="G243" s="9">
        <v>15</v>
      </c>
      <c r="H243">
        <v>0.80341399999999996</v>
      </c>
      <c r="I243">
        <v>5</v>
      </c>
      <c r="J243">
        <v>0.78085700000000002</v>
      </c>
      <c r="K243">
        <v>5</v>
      </c>
      <c r="L243">
        <v>0.77485499999999996</v>
      </c>
      <c r="M243" s="9">
        <v>15</v>
      </c>
      <c r="N243">
        <v>0.84160000000000001</v>
      </c>
      <c r="O243">
        <v>3</v>
      </c>
      <c r="P243">
        <v>0.81170500000000001</v>
      </c>
      <c r="Q243">
        <v>9</v>
      </c>
      <c r="R243">
        <v>0.82716100000000004</v>
      </c>
      <c r="V243" s="10" cm="1">
        <f t="array" ref="V24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242)+1),6),"")</f>
        <v>0.6492</v>
      </c>
      <c r="W243" s="11">
        <f t="shared" si="11"/>
        <v>10643.459645133613</v>
      </c>
      <c r="X243" s="15"/>
      <c r="Y243" s="13"/>
      <c r="Z243" s="10"/>
      <c r="AA243" s="11"/>
      <c r="AB243" s="12"/>
    </row>
    <row r="244" spans="1:28" x14ac:dyDescent="0.25">
      <c r="A244" s="9">
        <v>14</v>
      </c>
      <c r="B244">
        <v>0.85082199999999997</v>
      </c>
      <c r="C244">
        <f t="shared" si="9"/>
        <v>7</v>
      </c>
      <c r="D244">
        <v>0.83650899999999995</v>
      </c>
      <c r="E244" s="9">
        <f t="shared" si="10"/>
        <v>4</v>
      </c>
      <c r="F244">
        <v>0.82567299999999999</v>
      </c>
      <c r="G244" s="9">
        <v>14</v>
      </c>
      <c r="H244">
        <v>0.80053099999999999</v>
      </c>
      <c r="I244">
        <v>4</v>
      </c>
      <c r="J244">
        <v>0.77806500000000001</v>
      </c>
      <c r="K244">
        <v>4</v>
      </c>
      <c r="L244">
        <v>0.77192000000000005</v>
      </c>
      <c r="M244" s="9">
        <v>14</v>
      </c>
      <c r="N244">
        <v>0.83860900000000005</v>
      </c>
      <c r="O244">
        <v>2</v>
      </c>
      <c r="P244">
        <v>0.80869400000000002</v>
      </c>
      <c r="Q244">
        <v>8</v>
      </c>
      <c r="R244">
        <v>0.82440400000000003</v>
      </c>
      <c r="V244" s="10" cm="1">
        <f t="array" ref="V24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243)+1),6),"")</f>
        <v>0.652111</v>
      </c>
      <c r="W244" s="11">
        <f t="shared" si="11"/>
        <v>10691.184708329829</v>
      </c>
      <c r="X244" s="15"/>
      <c r="Y244" s="13"/>
      <c r="Z244" s="10"/>
      <c r="AA244" s="11"/>
      <c r="AB244" s="12"/>
    </row>
    <row r="245" spans="1:28" x14ac:dyDescent="0.25">
      <c r="A245" s="9">
        <v>13</v>
      </c>
      <c r="B245">
        <v>0.84795299999999996</v>
      </c>
      <c r="C245">
        <f t="shared" si="9"/>
        <v>6</v>
      </c>
      <c r="D245">
        <v>0.83345999999999998</v>
      </c>
      <c r="E245" s="9">
        <f t="shared" si="10"/>
        <v>3</v>
      </c>
      <c r="F245">
        <v>0.823577</v>
      </c>
      <c r="G245" s="9">
        <v>13</v>
      </c>
      <c r="H245">
        <v>0.79767900000000003</v>
      </c>
      <c r="I245">
        <v>3</v>
      </c>
      <c r="J245">
        <v>0.77454599999999996</v>
      </c>
      <c r="K245">
        <v>3</v>
      </c>
      <c r="L245">
        <v>0.76808600000000005</v>
      </c>
      <c r="M245" s="9">
        <v>13</v>
      </c>
      <c r="N245">
        <v>0.83567199999999997</v>
      </c>
      <c r="O245">
        <v>1</v>
      </c>
      <c r="P245">
        <v>0.80508599999999997</v>
      </c>
      <c r="Q245">
        <v>7</v>
      </c>
      <c r="R245">
        <v>0.82150999999999996</v>
      </c>
      <c r="V245" s="10" cm="1">
        <f t="array" ref="V24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244)+1),6),"")</f>
        <v>0.65498000000000001</v>
      </c>
      <c r="W245" s="11">
        <f t="shared" si="11"/>
        <v>10738.221192805935</v>
      </c>
      <c r="X245" s="15"/>
      <c r="Y245" s="13"/>
      <c r="Z245" s="10"/>
      <c r="AA245" s="11"/>
      <c r="AB245" s="12"/>
    </row>
    <row r="246" spans="1:28" x14ac:dyDescent="0.25">
      <c r="A246" s="9">
        <v>12</v>
      </c>
      <c r="B246">
        <v>0.84469099999999997</v>
      </c>
      <c r="C246">
        <f t="shared" si="9"/>
        <v>5</v>
      </c>
      <c r="D246">
        <v>0.829932</v>
      </c>
      <c r="E246" s="9">
        <f t="shared" si="10"/>
        <v>2</v>
      </c>
      <c r="F246">
        <v>0.82006100000000004</v>
      </c>
      <c r="G246" s="9">
        <v>12</v>
      </c>
      <c r="H246">
        <v>0.79485499999999998</v>
      </c>
      <c r="I246">
        <v>2</v>
      </c>
      <c r="J246">
        <v>0.77134899999999995</v>
      </c>
      <c r="K246">
        <v>2</v>
      </c>
      <c r="L246">
        <v>0.76557900000000001</v>
      </c>
      <c r="M246" s="9">
        <v>12</v>
      </c>
      <c r="N246">
        <v>0.83238800000000002</v>
      </c>
      <c r="O246">
        <v>0</v>
      </c>
      <c r="P246">
        <v>0.80206299999999997</v>
      </c>
      <c r="Q246">
        <v>6</v>
      </c>
      <c r="R246">
        <v>0.81865699999999997</v>
      </c>
      <c r="V246" s="10" cm="1">
        <f t="array" ref="V24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245)+1),6),"")</f>
        <v>0.65824199999999999</v>
      </c>
      <c r="W246" s="11">
        <f t="shared" si="11"/>
        <v>10791.700806734503</v>
      </c>
      <c r="X246" s="15"/>
      <c r="Y246" s="13"/>
      <c r="Z246" s="10"/>
      <c r="AA246" s="11"/>
      <c r="AB246" s="12"/>
    </row>
    <row r="247" spans="1:28" x14ac:dyDescent="0.25">
      <c r="A247" s="9">
        <v>11</v>
      </c>
      <c r="B247">
        <v>0.84138199999999996</v>
      </c>
      <c r="C247">
        <f t="shared" si="9"/>
        <v>4</v>
      </c>
      <c r="D247">
        <v>0.82663799999999998</v>
      </c>
      <c r="E247" s="9">
        <f t="shared" si="10"/>
        <v>1</v>
      </c>
      <c r="F247">
        <v>0.81769800000000004</v>
      </c>
      <c r="G247" s="9">
        <v>11</v>
      </c>
      <c r="H247">
        <v>0.79097300000000004</v>
      </c>
      <c r="I247">
        <v>1</v>
      </c>
      <c r="J247">
        <v>0.76844000000000001</v>
      </c>
      <c r="K247">
        <v>1</v>
      </c>
      <c r="L247">
        <v>0.76265000000000005</v>
      </c>
      <c r="M247" s="9">
        <v>11</v>
      </c>
      <c r="N247">
        <v>0.82927700000000004</v>
      </c>
      <c r="O247" s="9"/>
      <c r="Q247">
        <v>5</v>
      </c>
      <c r="R247">
        <v>0.81521900000000003</v>
      </c>
      <c r="V247" s="10" cm="1">
        <f t="array" ref="V24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246)+1),6),"")</f>
        <v>0.661551</v>
      </c>
      <c r="W247" s="11">
        <f t="shared" si="11"/>
        <v>10845.950973040337</v>
      </c>
      <c r="X247" s="15"/>
      <c r="Y247" s="13"/>
      <c r="Z247" s="10"/>
      <c r="AA247" s="11"/>
      <c r="AB247" s="12"/>
    </row>
    <row r="248" spans="1:28" x14ac:dyDescent="0.25">
      <c r="A248" s="9">
        <v>10</v>
      </c>
      <c r="B248">
        <v>0.83801000000000003</v>
      </c>
      <c r="C248">
        <f t="shared" si="9"/>
        <v>3</v>
      </c>
      <c r="D248">
        <v>0.82530800000000004</v>
      </c>
      <c r="E248" s="9">
        <f t="shared" si="10"/>
        <v>0</v>
      </c>
      <c r="F248">
        <v>0.81388899999999997</v>
      </c>
      <c r="G248" s="9">
        <v>10</v>
      </c>
      <c r="H248">
        <v>0.78819600000000001</v>
      </c>
      <c r="I248">
        <v>0</v>
      </c>
      <c r="J248">
        <v>0.76498699999999997</v>
      </c>
      <c r="K248">
        <v>0</v>
      </c>
      <c r="L248">
        <v>0.76002400000000003</v>
      </c>
      <c r="M248" s="9">
        <v>10</v>
      </c>
      <c r="N248">
        <v>0.82629900000000001</v>
      </c>
      <c r="O248" s="9"/>
      <c r="Q248">
        <v>4</v>
      </c>
      <c r="R248">
        <v>0.81254400000000004</v>
      </c>
      <c r="V248" s="10" cm="1">
        <f t="array" ref="V24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247)+1),6),"")</f>
        <v>0.66492300000000004</v>
      </c>
      <c r="W248" s="11">
        <f t="shared" si="11"/>
        <v>10901.234007426336</v>
      </c>
      <c r="X248" s="15"/>
      <c r="Y248" s="13"/>
      <c r="Z248" s="10"/>
      <c r="AA248" s="11"/>
      <c r="AB248" s="12"/>
    </row>
    <row r="249" spans="1:28" x14ac:dyDescent="0.25">
      <c r="A249" s="9">
        <v>9</v>
      </c>
      <c r="B249">
        <v>0.83546299999999996</v>
      </c>
      <c r="C249">
        <f t="shared" si="9"/>
        <v>2</v>
      </c>
      <c r="D249">
        <v>0.82172199999999995</v>
      </c>
      <c r="E249" s="9"/>
      <c r="F249" s="9"/>
      <c r="G249" s="9">
        <v>9</v>
      </c>
      <c r="L249">
        <v>0.86726999999999999</v>
      </c>
      <c r="M249" s="9">
        <v>9</v>
      </c>
      <c r="N249">
        <v>0.82312099999999999</v>
      </c>
      <c r="O249" s="9"/>
      <c r="Q249">
        <v>3</v>
      </c>
      <c r="R249">
        <v>0.80884599999999995</v>
      </c>
      <c r="V249" s="10" cm="1">
        <f t="array" ref="V249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248)+1),6),"")</f>
        <v>0.66747000000000001</v>
      </c>
      <c r="W249" s="11">
        <f t="shared" si="11"/>
        <v>10942.991388381597</v>
      </c>
      <c r="X249" s="15"/>
      <c r="Y249" s="13"/>
      <c r="Z249" s="10"/>
      <c r="AA249" s="11"/>
      <c r="AB249" s="12"/>
    </row>
    <row r="250" spans="1:28" x14ac:dyDescent="0.25">
      <c r="A250" s="9">
        <v>8</v>
      </c>
      <c r="B250">
        <v>0.83228800000000003</v>
      </c>
      <c r="C250">
        <f t="shared" si="9"/>
        <v>1</v>
      </c>
      <c r="D250">
        <v>0.81832499999999997</v>
      </c>
      <c r="E250" s="9"/>
      <c r="F250" s="9"/>
      <c r="G250" s="9">
        <v>8</v>
      </c>
      <c r="L250">
        <v>0.86396300000000004</v>
      </c>
      <c r="M250" s="9">
        <v>8</v>
      </c>
      <c r="N250">
        <v>0.82001999999999997</v>
      </c>
      <c r="O250" s="9"/>
      <c r="Q250">
        <v>2</v>
      </c>
      <c r="R250">
        <v>0.80608599999999997</v>
      </c>
      <c r="V250" s="10" cm="1">
        <f t="array" ref="V250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249)+1),6),"")</f>
        <v>0.67064500000000005</v>
      </c>
      <c r="W250" s="11">
        <f t="shared" si="11"/>
        <v>10995.04466067565</v>
      </c>
      <c r="X250" s="15"/>
      <c r="Y250" s="13"/>
      <c r="Z250" s="10"/>
      <c r="AA250" s="11"/>
      <c r="AB250" s="12"/>
    </row>
    <row r="251" spans="1:28" x14ac:dyDescent="0.25">
      <c r="A251" s="9">
        <v>7</v>
      </c>
      <c r="B251">
        <v>0.83125499999999997</v>
      </c>
      <c r="C251">
        <f t="shared" si="9"/>
        <v>0</v>
      </c>
      <c r="D251">
        <v>0.815021</v>
      </c>
      <c r="E251" s="9"/>
      <c r="F251" s="9"/>
      <c r="G251" s="9">
        <v>7</v>
      </c>
      <c r="L251">
        <v>0.86123400000000006</v>
      </c>
      <c r="M251" s="9">
        <v>7</v>
      </c>
      <c r="N251">
        <v>0.81746600000000003</v>
      </c>
      <c r="O251" s="9"/>
      <c r="Q251">
        <v>1</v>
      </c>
      <c r="R251">
        <v>0.80266999999999999</v>
      </c>
      <c r="V251" s="10" cm="1">
        <f t="array" ref="V251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250)+1),6),"")</f>
        <v>0.671678</v>
      </c>
      <c r="W251" s="11">
        <f t="shared" si="11"/>
        <v>11011.980418244077</v>
      </c>
      <c r="X251" s="15"/>
      <c r="Y251" s="13"/>
      <c r="Z251" s="10"/>
      <c r="AA251" s="11"/>
      <c r="AB251" s="12"/>
    </row>
    <row r="252" spans="1:28" x14ac:dyDescent="0.25">
      <c r="A252" s="9">
        <v>6</v>
      </c>
      <c r="B252">
        <v>0.82797100000000001</v>
      </c>
      <c r="E252" s="9"/>
      <c r="F252" s="9"/>
      <c r="G252" s="9">
        <v>6</v>
      </c>
      <c r="L252">
        <v>0.85795500000000002</v>
      </c>
      <c r="M252" s="9">
        <v>6</v>
      </c>
      <c r="N252">
        <v>0.81438699999999997</v>
      </c>
      <c r="O252" s="9"/>
      <c r="Q252">
        <v>0</v>
      </c>
      <c r="R252">
        <v>0.79962599999999995</v>
      </c>
      <c r="V252" s="10" cm="1">
        <f t="array" ref="V252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251)+1),6),"")</f>
        <v>0.67496199999999995</v>
      </c>
      <c r="W252" s="11">
        <f t="shared" si="11"/>
        <v>11065.820716264128</v>
      </c>
      <c r="X252" s="15"/>
      <c r="Y252" s="13"/>
      <c r="Z252" s="10"/>
      <c r="AA252" s="11"/>
      <c r="AB252" s="12"/>
    </row>
    <row r="253" spans="1:28" x14ac:dyDescent="0.25">
      <c r="A253" s="9">
        <v>5</v>
      </c>
      <c r="B253">
        <v>0.82506000000000002</v>
      </c>
      <c r="E253" s="9"/>
      <c r="F253" s="9"/>
      <c r="G253" s="9">
        <v>5</v>
      </c>
      <c r="L253">
        <v>0.85517600000000005</v>
      </c>
      <c r="M253" s="9">
        <v>5</v>
      </c>
      <c r="N253">
        <v>0.81125999999999998</v>
      </c>
      <c r="O253" s="9"/>
      <c r="V253" s="10" cm="1">
        <f t="array" ref="V253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252)+1),6),"")</f>
        <v>0.67787299999999995</v>
      </c>
      <c r="W253" s="11">
        <f t="shared" si="11"/>
        <v>11113.545779460346</v>
      </c>
      <c r="X253" s="15"/>
      <c r="Y253" s="13"/>
      <c r="Z253" s="10"/>
      <c r="AA253" s="11"/>
      <c r="AB253" s="12"/>
    </row>
    <row r="254" spans="1:28" x14ac:dyDescent="0.25">
      <c r="A254" s="9">
        <v>4</v>
      </c>
      <c r="B254">
        <v>0.82213800000000004</v>
      </c>
      <c r="E254" s="9"/>
      <c r="F254" s="9"/>
      <c r="G254" s="9">
        <v>4</v>
      </c>
      <c r="L254">
        <v>0.84877000000000002</v>
      </c>
      <c r="M254" s="9">
        <v>4</v>
      </c>
      <c r="N254">
        <v>0.80813900000000005</v>
      </c>
      <c r="O254" s="9"/>
      <c r="V254" s="10" cm="1">
        <f t="array" ref="V254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253)+1),6),"")</f>
        <v>0.68079500000000004</v>
      </c>
      <c r="W254" s="11">
        <f t="shared" si="11"/>
        <v>11161.451184702308</v>
      </c>
      <c r="X254" s="15"/>
      <c r="Y254" s="13"/>
      <c r="Z254" s="10"/>
      <c r="AA254" s="11"/>
      <c r="AB254" s="12"/>
    </row>
    <row r="255" spans="1:28" x14ac:dyDescent="0.25">
      <c r="A255" s="9">
        <v>3</v>
      </c>
      <c r="B255">
        <v>0.81885399999999997</v>
      </c>
      <c r="E255" s="9"/>
      <c r="F255" s="9"/>
      <c r="G255" s="9">
        <v>3</v>
      </c>
      <c r="L255">
        <v>0.84576799999999996</v>
      </c>
      <c r="M255" s="9">
        <v>3</v>
      </c>
      <c r="N255">
        <v>0.80472100000000002</v>
      </c>
      <c r="O255" s="9"/>
      <c r="V255" s="10" cm="1">
        <f t="array" ref="V255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254)+1),6),"")</f>
        <v>0.68407899999999999</v>
      </c>
      <c r="W255" s="11">
        <f t="shared" si="11"/>
        <v>11215.291482722359</v>
      </c>
      <c r="X255" s="15"/>
      <c r="Y255" s="13"/>
      <c r="Z255" s="10"/>
      <c r="AA255" s="11"/>
      <c r="AB255" s="12"/>
    </row>
    <row r="256" spans="1:28" x14ac:dyDescent="0.25">
      <c r="A256" s="9">
        <v>2</v>
      </c>
      <c r="B256">
        <v>0.81573600000000002</v>
      </c>
      <c r="E256" s="9"/>
      <c r="F256" s="9"/>
      <c r="G256" s="9">
        <v>2</v>
      </c>
      <c r="L256">
        <v>0.84268600000000005</v>
      </c>
      <c r="M256" s="9">
        <v>2</v>
      </c>
      <c r="N256">
        <v>0.80175099999999999</v>
      </c>
      <c r="O256" s="9"/>
      <c r="V256" s="10" cm="1">
        <f t="array" ref="V256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255)+1),6),"")</f>
        <v>0.68719699999999995</v>
      </c>
      <c r="W256" s="11">
        <f t="shared" si="11"/>
        <v>11266.410255324834</v>
      </c>
      <c r="X256" s="15"/>
      <c r="Y256" s="13"/>
      <c r="Z256" s="10"/>
      <c r="AA256" s="11"/>
      <c r="AB256" s="12"/>
    </row>
    <row r="257" spans="1:28" x14ac:dyDescent="0.25">
      <c r="A257" s="9">
        <v>1</v>
      </c>
      <c r="B257">
        <v>0.81268399999999996</v>
      </c>
      <c r="E257" s="9"/>
      <c r="F257" s="9"/>
      <c r="G257" s="9">
        <v>1</v>
      </c>
      <c r="L257">
        <v>0.84001199999999998</v>
      </c>
      <c r="M257" s="9">
        <v>1</v>
      </c>
      <c r="N257">
        <v>0.79861199999999999</v>
      </c>
      <c r="O257" s="9"/>
      <c r="V257" s="10" cm="1">
        <f t="array" ref="V257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256)+1),6),"")</f>
        <v>0.690249</v>
      </c>
      <c r="W257" s="11">
        <f t="shared" si="11"/>
        <v>11316.446975652851</v>
      </c>
      <c r="X257" s="15"/>
      <c r="Y257" s="13"/>
      <c r="Z257" s="10"/>
      <c r="AA257" s="11"/>
      <c r="AB257" s="12"/>
    </row>
    <row r="258" spans="1:28" x14ac:dyDescent="0.25">
      <c r="A258" s="9">
        <v>0</v>
      </c>
      <c r="B258">
        <v>0.809755</v>
      </c>
      <c r="E258" s="9"/>
      <c r="F258" s="9"/>
      <c r="G258" s="9">
        <v>0</v>
      </c>
      <c r="M258" s="9">
        <v>0</v>
      </c>
      <c r="N258">
        <v>0.795242</v>
      </c>
      <c r="O258" s="9"/>
      <c r="V258" s="10" cm="1">
        <f t="array" ref="V258">IFERROR(ROUND(INDEX(CHOOSE((--$S$2-1)*3+--$T$2+1,$B$3:$B$1048576,$D$3:$D$1048576,$F$3:$F$1048576,$H$3:$H$1048576,$J$3:$J$1048576,$L$3:$L$1048576,$N$3:$N$1048576,$P$3:$P$1048576,$R$12:$R$1048576),1)-INDEX(CHOOSE((--$S$2-1)*3+--$T$2+1,$B$3:$B$1048576,$D$3:$D$1048576,$F$3:$F$1048576,$H$3:$H$1048576,$J$3:$J$1048576,$L$3:$L$1048576,$N$3:$N$1048576,$P$3:$P$1048576,$R$12:$R$1048576),ROWS(V$3:V257)+1),6),"")</f>
        <v>0.69317799999999996</v>
      </c>
      <c r="W258" s="11">
        <f t="shared" si="11"/>
        <v>11364.467144014829</v>
      </c>
      <c r="X258" s="15"/>
      <c r="Y258" s="13"/>
      <c r="Z258" s="10"/>
      <c r="AA258" s="11"/>
      <c r="AB258" s="13"/>
    </row>
  </sheetData>
  <dataValidations count="2">
    <dataValidation type="list" allowBlank="1" showInputMessage="1" showErrorMessage="1" prompt="Choisir le Threshold" sqref="T2" xr:uid="{1E338654-5C02-46B7-8249-6C71C5FBAFC0}">
      <formula1>"0,1,2"</formula1>
    </dataValidation>
    <dataValidation type="list" allowBlank="1" showInputMessage="1" showErrorMessage="1" prompt="Choisir le abeast" sqref="S2" xr:uid="{AC1EEB51-48E9-4ECE-AD70-06278CADC39D}">
      <formula1>"1,2,3"</formula1>
    </dataValidation>
  </dataValidations>
  <pageMargins left="0" right="0" top="0.39370078740157483" bottom="0.39370078740157483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higueret_adm</dc:creator>
  <cp:lastModifiedBy>higueret_adm</cp:lastModifiedBy>
  <cp:revision>4</cp:revision>
  <dcterms:created xsi:type="dcterms:W3CDTF">2025-04-15T11:50:22Z</dcterms:created>
  <dcterms:modified xsi:type="dcterms:W3CDTF">2025-10-21T13:44:44Z</dcterms:modified>
</cp:coreProperties>
</file>