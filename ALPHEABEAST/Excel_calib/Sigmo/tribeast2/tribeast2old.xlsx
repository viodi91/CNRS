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ueret_adm\PycharmProjects\MANIP\"/>
    </mc:Choice>
  </mc:AlternateContent>
  <xr:revisionPtr revIDLastSave="0" documentId="13_ncr:1_{DEFC10E9-3795-48D0-9637-0AFF3ED7E66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47" i="1" l="1"/>
  <c r="Y154" i="1" s="1"/>
  <c r="Y161" i="1" s="1"/>
  <c r="V5" i="1" a="1"/>
  <c r="V5" i="1" s="1"/>
  <c r="W5" i="1" s="1"/>
  <c r="V6" i="1" a="1"/>
  <c r="V6" i="1" s="1"/>
  <c r="W6" i="1" s="1"/>
  <c r="V7" i="1" a="1"/>
  <c r="V7" i="1" s="1"/>
  <c r="W7" i="1" s="1"/>
  <c r="V8" i="1" a="1"/>
  <c r="V8" i="1" s="1"/>
  <c r="W8" i="1" s="1"/>
  <c r="V9" i="1" a="1"/>
  <c r="V9" i="1" s="1"/>
  <c r="W9" i="1" s="1"/>
  <c r="V10" i="1" a="1"/>
  <c r="V10" i="1" s="1"/>
  <c r="W10" i="1" s="1"/>
  <c r="V11" i="1" a="1"/>
  <c r="V11" i="1" s="1"/>
  <c r="W11" i="1" s="1"/>
  <c r="V12" i="1" a="1"/>
  <c r="V12" i="1" s="1"/>
  <c r="W12" i="1" s="1"/>
  <c r="V13" i="1" a="1"/>
  <c r="V13" i="1" s="1"/>
  <c r="W13" i="1" s="1"/>
  <c r="V14" i="1" a="1"/>
  <c r="V14" i="1" s="1"/>
  <c r="W14" i="1" s="1"/>
  <c r="V15" i="1" a="1"/>
  <c r="V15" i="1" s="1"/>
  <c r="W15" i="1" s="1"/>
  <c r="V16" i="1" a="1"/>
  <c r="V16" i="1" s="1"/>
  <c r="W16" i="1" s="1"/>
  <c r="V17" i="1" a="1"/>
  <c r="V17" i="1" s="1"/>
  <c r="W17" i="1" s="1"/>
  <c r="V18" i="1" a="1"/>
  <c r="V18" i="1" s="1"/>
  <c r="W18" i="1" s="1"/>
  <c r="V19" i="1" a="1"/>
  <c r="V19" i="1" s="1"/>
  <c r="W19" i="1" s="1"/>
  <c r="V20" i="1" a="1"/>
  <c r="V20" i="1" s="1"/>
  <c r="W20" i="1" s="1"/>
  <c r="V21" i="1" a="1"/>
  <c r="V21" i="1" s="1"/>
  <c r="W21" i="1" s="1"/>
  <c r="V22" i="1" a="1"/>
  <c r="V22" i="1" s="1"/>
  <c r="W22" i="1" s="1"/>
  <c r="V23" i="1" a="1"/>
  <c r="V23" i="1" s="1"/>
  <c r="W23" i="1" s="1"/>
  <c r="V24" i="1" a="1"/>
  <c r="V24" i="1" s="1"/>
  <c r="W24" i="1" s="1"/>
  <c r="V25" i="1" a="1"/>
  <c r="V25" i="1" s="1"/>
  <c r="W25" i="1" s="1"/>
  <c r="V26" i="1" a="1"/>
  <c r="V26" i="1"/>
  <c r="W26" i="1" s="1"/>
  <c r="V27" i="1" a="1"/>
  <c r="V27" i="1" s="1"/>
  <c r="W27" i="1" s="1"/>
  <c r="V28" i="1" a="1"/>
  <c r="V28" i="1" s="1"/>
  <c r="W28" i="1" s="1"/>
  <c r="V29" i="1" a="1"/>
  <c r="V29" i="1" s="1"/>
  <c r="W29" i="1" s="1"/>
  <c r="V30" i="1" a="1"/>
  <c r="V30" i="1" s="1"/>
  <c r="W30" i="1" s="1"/>
  <c r="V31" i="1" a="1"/>
  <c r="V31" i="1" s="1"/>
  <c r="W31" i="1" s="1"/>
  <c r="V32" i="1" a="1"/>
  <c r="V32" i="1" s="1"/>
  <c r="W32" i="1" s="1"/>
  <c r="V33" i="1" a="1"/>
  <c r="V33" i="1" s="1"/>
  <c r="W33" i="1" s="1"/>
  <c r="V34" i="1" a="1"/>
  <c r="V34" i="1" s="1"/>
  <c r="W34" i="1" s="1"/>
  <c r="V35" i="1" a="1"/>
  <c r="V35" i="1" s="1"/>
  <c r="W35" i="1" s="1"/>
  <c r="V36" i="1" a="1"/>
  <c r="V36" i="1" s="1"/>
  <c r="W36" i="1" s="1"/>
  <c r="V37" i="1" a="1"/>
  <c r="V37" i="1" s="1"/>
  <c r="W37" i="1" s="1"/>
  <c r="V38" i="1" a="1"/>
  <c r="V38" i="1" s="1"/>
  <c r="W38" i="1" s="1"/>
  <c r="V39" i="1" a="1"/>
  <c r="V39" i="1" s="1"/>
  <c r="W39" i="1" s="1"/>
  <c r="V40" i="1" a="1"/>
  <c r="V40" i="1" s="1"/>
  <c r="W40" i="1" s="1"/>
  <c r="V41" i="1" a="1"/>
  <c r="V41" i="1" s="1"/>
  <c r="W41" i="1" s="1"/>
  <c r="V42" i="1" a="1"/>
  <c r="V42" i="1" s="1"/>
  <c r="W42" i="1" s="1"/>
  <c r="V43" i="1" a="1"/>
  <c r="V43" i="1" s="1"/>
  <c r="W43" i="1" s="1"/>
  <c r="V44" i="1" a="1"/>
  <c r="V44" i="1" s="1"/>
  <c r="W44" i="1" s="1"/>
  <c r="V45" i="1" a="1"/>
  <c r="V45" i="1" s="1"/>
  <c r="W45" i="1" s="1"/>
  <c r="V46" i="1" a="1"/>
  <c r="V46" i="1" s="1"/>
  <c r="W46" i="1" s="1"/>
  <c r="V47" i="1" a="1"/>
  <c r="V47" i="1" s="1"/>
  <c r="W47" i="1" s="1"/>
  <c r="V48" i="1" a="1"/>
  <c r="V48" i="1" s="1"/>
  <c r="W48" i="1" s="1"/>
  <c r="V49" i="1" a="1"/>
  <c r="V49" i="1" s="1"/>
  <c r="W49" i="1" s="1"/>
  <c r="V50" i="1" a="1"/>
  <c r="V50" i="1" s="1"/>
  <c r="W50" i="1" s="1"/>
  <c r="V51" i="1" a="1"/>
  <c r="V51" i="1" s="1"/>
  <c r="W51" i="1" s="1"/>
  <c r="V52" i="1" a="1"/>
  <c r="V52" i="1" s="1"/>
  <c r="W52" i="1" s="1"/>
  <c r="V53" i="1" a="1"/>
  <c r="V53" i="1" s="1"/>
  <c r="W53" i="1" s="1"/>
  <c r="V54" i="1" a="1"/>
  <c r="V54" i="1" s="1"/>
  <c r="W54" i="1" s="1"/>
  <c r="V55" i="1" a="1"/>
  <c r="V55" i="1" s="1"/>
  <c r="W55" i="1" s="1"/>
  <c r="V56" i="1" a="1"/>
  <c r="V56" i="1" s="1"/>
  <c r="W56" i="1" s="1"/>
  <c r="V57" i="1" a="1"/>
  <c r="V57" i="1" s="1"/>
  <c r="W57" i="1" s="1"/>
  <c r="V58" i="1" a="1"/>
  <c r="V58" i="1" s="1"/>
  <c r="W58" i="1" s="1"/>
  <c r="V59" i="1" a="1"/>
  <c r="V59" i="1" s="1"/>
  <c r="W59" i="1" s="1"/>
  <c r="V60" i="1" a="1"/>
  <c r="V60" i="1" s="1"/>
  <c r="W60" i="1" s="1"/>
  <c r="V61" i="1" a="1"/>
  <c r="V61" i="1" s="1"/>
  <c r="W61" i="1" s="1"/>
  <c r="V62" i="1" a="1"/>
  <c r="V62" i="1" s="1"/>
  <c r="W62" i="1" s="1"/>
  <c r="V63" i="1" a="1"/>
  <c r="V63" i="1" s="1"/>
  <c r="W63" i="1" s="1"/>
  <c r="V64" i="1" a="1"/>
  <c r="V64" i="1" s="1"/>
  <c r="W64" i="1" s="1"/>
  <c r="V65" i="1" a="1"/>
  <c r="V65" i="1" s="1"/>
  <c r="W65" i="1" s="1"/>
  <c r="V66" i="1" a="1"/>
  <c r="V66" i="1" s="1"/>
  <c r="W66" i="1" s="1"/>
  <c r="V67" i="1" a="1"/>
  <c r="V67" i="1" s="1"/>
  <c r="W67" i="1" s="1"/>
  <c r="V68" i="1" a="1"/>
  <c r="V68" i="1" s="1"/>
  <c r="W68" i="1" s="1"/>
  <c r="V69" i="1" a="1"/>
  <c r="V69" i="1" s="1"/>
  <c r="W69" i="1" s="1"/>
  <c r="V70" i="1" a="1"/>
  <c r="V70" i="1" s="1"/>
  <c r="W70" i="1" s="1"/>
  <c r="V71" i="1" a="1"/>
  <c r="V71" i="1" s="1"/>
  <c r="W71" i="1" s="1"/>
  <c r="V72" i="1" a="1"/>
  <c r="V72" i="1" s="1"/>
  <c r="W72" i="1" s="1"/>
  <c r="V73" i="1" a="1"/>
  <c r="V73" i="1" s="1"/>
  <c r="W73" i="1" s="1"/>
  <c r="V74" i="1" a="1"/>
  <c r="V74" i="1" s="1"/>
  <c r="W74" i="1" s="1"/>
  <c r="V75" i="1" a="1"/>
  <c r="V75" i="1" s="1"/>
  <c r="W75" i="1" s="1"/>
  <c r="V76" i="1" a="1"/>
  <c r="V76" i="1" s="1"/>
  <c r="W76" i="1" s="1"/>
  <c r="V77" i="1" a="1"/>
  <c r="V77" i="1" s="1"/>
  <c r="W77" i="1" s="1"/>
  <c r="V78" i="1" a="1"/>
  <c r="V78" i="1" s="1"/>
  <c r="W78" i="1" s="1"/>
  <c r="V79" i="1" a="1"/>
  <c r="V79" i="1" s="1"/>
  <c r="W79" i="1" s="1"/>
  <c r="V80" i="1" a="1"/>
  <c r="V80" i="1" s="1"/>
  <c r="W80" i="1" s="1"/>
  <c r="V81" i="1" a="1"/>
  <c r="V81" i="1" s="1"/>
  <c r="W81" i="1" s="1"/>
  <c r="V82" i="1" a="1"/>
  <c r="V82" i="1" s="1"/>
  <c r="W82" i="1" s="1"/>
  <c r="V83" i="1" a="1"/>
  <c r="V83" i="1" s="1"/>
  <c r="W83" i="1" s="1"/>
  <c r="V84" i="1" a="1"/>
  <c r="V84" i="1" s="1"/>
  <c r="W84" i="1" s="1"/>
  <c r="V85" i="1" a="1"/>
  <c r="V85" i="1" s="1"/>
  <c r="W85" i="1" s="1"/>
  <c r="V86" i="1" a="1"/>
  <c r="V86" i="1" s="1"/>
  <c r="W86" i="1" s="1"/>
  <c r="V87" i="1" a="1"/>
  <c r="V87" i="1" s="1"/>
  <c r="W87" i="1" s="1"/>
  <c r="V88" i="1" a="1"/>
  <c r="V88" i="1" s="1"/>
  <c r="W88" i="1" s="1"/>
  <c r="V89" i="1" a="1"/>
  <c r="V89" i="1" s="1"/>
  <c r="W89" i="1" s="1"/>
  <c r="V90" i="1" a="1"/>
  <c r="V90" i="1" s="1"/>
  <c r="W90" i="1" s="1"/>
  <c r="V91" i="1" a="1"/>
  <c r="V91" i="1" s="1"/>
  <c r="W91" i="1" s="1"/>
  <c r="V92" i="1" a="1"/>
  <c r="V92" i="1" s="1"/>
  <c r="W92" i="1" s="1"/>
  <c r="V93" i="1" a="1"/>
  <c r="V93" i="1" s="1"/>
  <c r="W93" i="1" s="1"/>
  <c r="V94" i="1" a="1"/>
  <c r="V94" i="1" s="1"/>
  <c r="W94" i="1" s="1"/>
  <c r="V95" i="1" a="1"/>
  <c r="V95" i="1" s="1"/>
  <c r="W95" i="1" s="1"/>
  <c r="V96" i="1" a="1"/>
  <c r="V96" i="1" s="1"/>
  <c r="W96" i="1" s="1"/>
  <c r="V97" i="1" a="1"/>
  <c r="V97" i="1" s="1"/>
  <c r="W97" i="1" s="1"/>
  <c r="V98" i="1" a="1"/>
  <c r="V98" i="1" s="1"/>
  <c r="W98" i="1" s="1"/>
  <c r="V99" i="1" a="1"/>
  <c r="V99" i="1" s="1"/>
  <c r="W99" i="1" s="1"/>
  <c r="V100" i="1" a="1"/>
  <c r="V100" i="1" s="1"/>
  <c r="W100" i="1" s="1"/>
  <c r="V101" i="1" a="1"/>
  <c r="V101" i="1" s="1"/>
  <c r="W101" i="1" s="1"/>
  <c r="V102" i="1" a="1"/>
  <c r="V102" i="1" s="1"/>
  <c r="W102" i="1" s="1"/>
  <c r="V103" i="1" a="1"/>
  <c r="V103" i="1" s="1"/>
  <c r="W103" i="1" s="1"/>
  <c r="V104" i="1" a="1"/>
  <c r="V104" i="1" s="1"/>
  <c r="W104" i="1" s="1"/>
  <c r="V105" i="1" a="1"/>
  <c r="V105" i="1" s="1"/>
  <c r="W105" i="1" s="1"/>
  <c r="V106" i="1" a="1"/>
  <c r="V106" i="1" s="1"/>
  <c r="W106" i="1" s="1"/>
  <c r="V107" i="1" a="1"/>
  <c r="V107" i="1" s="1"/>
  <c r="W107" i="1" s="1"/>
  <c r="V108" i="1" a="1"/>
  <c r="V108" i="1" s="1"/>
  <c r="W108" i="1" s="1"/>
  <c r="V109" i="1" a="1"/>
  <c r="V109" i="1" s="1"/>
  <c r="W109" i="1" s="1"/>
  <c r="V110" i="1" a="1"/>
  <c r="V110" i="1" s="1"/>
  <c r="W110" i="1" s="1"/>
  <c r="V111" i="1" a="1"/>
  <c r="V111" i="1" s="1"/>
  <c r="W111" i="1" s="1"/>
  <c r="V112" i="1" a="1"/>
  <c r="V112" i="1" s="1"/>
  <c r="W112" i="1" s="1"/>
  <c r="V113" i="1" a="1"/>
  <c r="V113" i="1" s="1"/>
  <c r="W113" i="1" s="1"/>
  <c r="V114" i="1" a="1"/>
  <c r="V114" i="1" s="1"/>
  <c r="W114" i="1" s="1"/>
  <c r="V115" i="1" a="1"/>
  <c r="V115" i="1" s="1"/>
  <c r="W115" i="1" s="1"/>
  <c r="V116" i="1" a="1"/>
  <c r="V116" i="1" s="1"/>
  <c r="W116" i="1" s="1"/>
  <c r="V117" i="1" a="1"/>
  <c r="V117" i="1" s="1"/>
  <c r="W117" i="1" s="1"/>
  <c r="V118" i="1" a="1"/>
  <c r="V118" i="1" s="1"/>
  <c r="W118" i="1" s="1"/>
  <c r="V119" i="1" a="1"/>
  <c r="V119" i="1" s="1"/>
  <c r="W119" i="1" s="1"/>
  <c r="V120" i="1" a="1"/>
  <c r="V120" i="1" s="1"/>
  <c r="W120" i="1" s="1"/>
  <c r="V121" i="1" a="1"/>
  <c r="V121" i="1" s="1"/>
  <c r="W121" i="1" s="1"/>
  <c r="V122" i="1" a="1"/>
  <c r="V122" i="1" s="1"/>
  <c r="W122" i="1" s="1"/>
  <c r="V123" i="1" a="1"/>
  <c r="V123" i="1" s="1"/>
  <c r="W123" i="1" s="1"/>
  <c r="V124" i="1" a="1"/>
  <c r="V124" i="1" s="1"/>
  <c r="W124" i="1" s="1"/>
  <c r="V125" i="1" a="1"/>
  <c r="V125" i="1" s="1"/>
  <c r="W125" i="1" s="1"/>
  <c r="V126" i="1" a="1"/>
  <c r="V126" i="1" s="1"/>
  <c r="W126" i="1" s="1"/>
  <c r="V127" i="1" a="1"/>
  <c r="V127" i="1" s="1"/>
  <c r="W127" i="1" s="1"/>
  <c r="V128" i="1" a="1"/>
  <c r="V128" i="1" s="1"/>
  <c r="W128" i="1" s="1"/>
  <c r="V129" i="1" a="1"/>
  <c r="V129" i="1" s="1"/>
  <c r="W129" i="1" s="1"/>
  <c r="V130" i="1" a="1"/>
  <c r="V130" i="1" s="1"/>
  <c r="W130" i="1" s="1"/>
  <c r="V131" i="1" a="1"/>
  <c r="V131" i="1" s="1"/>
  <c r="W131" i="1" s="1"/>
  <c r="V132" i="1" a="1"/>
  <c r="V132" i="1" s="1"/>
  <c r="W132" i="1" s="1"/>
  <c r="V133" i="1" a="1"/>
  <c r="V133" i="1" s="1"/>
  <c r="W133" i="1" s="1"/>
  <c r="V134" i="1" a="1"/>
  <c r="V134" i="1" s="1"/>
  <c r="W134" i="1" s="1"/>
  <c r="V135" i="1" a="1"/>
  <c r="V135" i="1" s="1"/>
  <c r="W135" i="1" s="1"/>
  <c r="V136" i="1" a="1"/>
  <c r="V136" i="1" s="1"/>
  <c r="W136" i="1" s="1"/>
  <c r="V137" i="1" a="1"/>
  <c r="V137" i="1" s="1"/>
  <c r="W137" i="1" s="1"/>
  <c r="V138" i="1" a="1"/>
  <c r="V138" i="1" s="1"/>
  <c r="W138" i="1" s="1"/>
  <c r="V139" i="1" a="1"/>
  <c r="V139" i="1" s="1"/>
  <c r="W139" i="1" s="1"/>
  <c r="V140" i="1" a="1"/>
  <c r="V140" i="1" s="1"/>
  <c r="W140" i="1" s="1"/>
  <c r="V141" i="1" a="1"/>
  <c r="V141" i="1" s="1"/>
  <c r="W141" i="1" s="1"/>
  <c r="V142" i="1" a="1"/>
  <c r="V142" i="1" s="1"/>
  <c r="W142" i="1" s="1"/>
  <c r="V143" i="1" a="1"/>
  <c r="V143" i="1" s="1"/>
  <c r="W143" i="1" s="1"/>
  <c r="V144" i="1" a="1"/>
  <c r="V144" i="1" s="1"/>
  <c r="W144" i="1" s="1"/>
  <c r="V145" i="1" a="1"/>
  <c r="V145" i="1" s="1"/>
  <c r="W145" i="1" s="1"/>
  <c r="V146" i="1" a="1"/>
  <c r="V146" i="1" s="1"/>
  <c r="W146" i="1" s="1"/>
  <c r="V147" i="1" a="1"/>
  <c r="V147" i="1" s="1"/>
  <c r="W147" i="1" s="1"/>
  <c r="V148" i="1" a="1"/>
  <c r="V148" i="1" s="1"/>
  <c r="W148" i="1" s="1"/>
  <c r="V149" i="1" a="1"/>
  <c r="V149" i="1" s="1"/>
  <c r="W149" i="1" s="1"/>
  <c r="V150" i="1" a="1"/>
  <c r="V150" i="1" s="1"/>
  <c r="W150" i="1" s="1"/>
  <c r="V151" i="1" a="1"/>
  <c r="V151" i="1" s="1"/>
  <c r="W151" i="1" s="1"/>
  <c r="V152" i="1" a="1"/>
  <c r="V152" i="1" s="1"/>
  <c r="W152" i="1" s="1"/>
  <c r="V153" i="1" a="1"/>
  <c r="V153" i="1" s="1"/>
  <c r="W153" i="1" s="1"/>
  <c r="V154" i="1" a="1"/>
  <c r="V154" i="1" s="1"/>
  <c r="W154" i="1" s="1"/>
  <c r="V155" i="1" a="1"/>
  <c r="V155" i="1" s="1"/>
  <c r="W155" i="1" s="1"/>
  <c r="V156" i="1" a="1"/>
  <c r="V156" i="1" s="1"/>
  <c r="W156" i="1" s="1"/>
  <c r="V157" i="1" a="1"/>
  <c r="V157" i="1" s="1"/>
  <c r="W157" i="1" s="1"/>
  <c r="V158" i="1" a="1"/>
  <c r="V158" i="1" s="1"/>
  <c r="W158" i="1" s="1"/>
  <c r="V159" i="1" a="1"/>
  <c r="V159" i="1" s="1"/>
  <c r="W159" i="1" s="1"/>
  <c r="V160" i="1" a="1"/>
  <c r="V160" i="1" s="1"/>
  <c r="W160" i="1" s="1"/>
  <c r="V161" i="1" a="1"/>
  <c r="V161" i="1" s="1"/>
  <c r="W161" i="1" s="1"/>
  <c r="V162" i="1" a="1"/>
  <c r="V162" i="1" s="1"/>
  <c r="W162" i="1" s="1"/>
  <c r="V163" i="1" a="1"/>
  <c r="V163" i="1" s="1"/>
  <c r="W163" i="1" s="1"/>
  <c r="V164" i="1" a="1"/>
  <c r="V164" i="1" s="1"/>
  <c r="W164" i="1" s="1"/>
  <c r="V165" i="1" a="1"/>
  <c r="V165" i="1" s="1"/>
  <c r="W165" i="1" s="1"/>
  <c r="V166" i="1" a="1"/>
  <c r="V166" i="1" s="1"/>
  <c r="W166" i="1" s="1"/>
  <c r="V167" i="1" a="1"/>
  <c r="V167" i="1" s="1"/>
  <c r="W167" i="1" s="1"/>
  <c r="V168" i="1" a="1"/>
  <c r="V168" i="1" s="1"/>
  <c r="W168" i="1" s="1"/>
  <c r="V169" i="1" a="1"/>
  <c r="V169" i="1" s="1"/>
  <c r="W169" i="1" s="1"/>
  <c r="V170" i="1" a="1"/>
  <c r="V170" i="1" s="1"/>
  <c r="W170" i="1" s="1"/>
  <c r="V171" i="1" a="1"/>
  <c r="V171" i="1" s="1"/>
  <c r="W171" i="1" s="1"/>
  <c r="V172" i="1" a="1"/>
  <c r="V172" i="1" s="1"/>
  <c r="W172" i="1" s="1"/>
  <c r="V173" i="1" a="1"/>
  <c r="V173" i="1" s="1"/>
  <c r="W173" i="1" s="1"/>
  <c r="V174" i="1" a="1"/>
  <c r="V174" i="1" s="1"/>
  <c r="W174" i="1" s="1"/>
  <c r="V175" i="1" a="1"/>
  <c r="V175" i="1" s="1"/>
  <c r="W175" i="1" s="1"/>
  <c r="V176" i="1" a="1"/>
  <c r="V176" i="1" s="1"/>
  <c r="W176" i="1" s="1"/>
  <c r="V177" i="1" a="1"/>
  <c r="V177" i="1" s="1"/>
  <c r="W177" i="1" s="1"/>
  <c r="V178" i="1" a="1"/>
  <c r="V178" i="1" s="1"/>
  <c r="W178" i="1" s="1"/>
  <c r="V179" i="1" a="1"/>
  <c r="V179" i="1" s="1"/>
  <c r="W179" i="1" s="1"/>
  <c r="V180" i="1" a="1"/>
  <c r="V180" i="1" s="1"/>
  <c r="W180" i="1" s="1"/>
  <c r="V181" i="1" a="1"/>
  <c r="V181" i="1" s="1"/>
  <c r="W181" i="1" s="1"/>
  <c r="V182" i="1" a="1"/>
  <c r="V182" i="1" s="1"/>
  <c r="W182" i="1" s="1"/>
  <c r="V183" i="1" a="1"/>
  <c r="V183" i="1" s="1"/>
  <c r="W183" i="1" s="1"/>
  <c r="V184" i="1" a="1"/>
  <c r="V184" i="1" s="1"/>
  <c r="W184" i="1" s="1"/>
  <c r="V185" i="1" a="1"/>
  <c r="V185" i="1" s="1"/>
  <c r="W185" i="1" s="1"/>
  <c r="V186" i="1" a="1"/>
  <c r="V186" i="1" s="1"/>
  <c r="W186" i="1" s="1"/>
  <c r="V187" i="1" a="1"/>
  <c r="V187" i="1" s="1"/>
  <c r="W187" i="1" s="1"/>
  <c r="V188" i="1" a="1"/>
  <c r="V188" i="1" s="1"/>
  <c r="W188" i="1" s="1"/>
  <c r="V189" i="1" a="1"/>
  <c r="V189" i="1" s="1"/>
  <c r="W189" i="1" s="1"/>
  <c r="V190" i="1" a="1"/>
  <c r="V190" i="1" s="1"/>
  <c r="W190" i="1" s="1"/>
  <c r="V191" i="1" a="1"/>
  <c r="V191" i="1" s="1"/>
  <c r="W191" i="1" s="1"/>
  <c r="V192" i="1" a="1"/>
  <c r="V192" i="1" s="1"/>
  <c r="W192" i="1" s="1"/>
  <c r="V193" i="1" a="1"/>
  <c r="V193" i="1" s="1"/>
  <c r="W193" i="1" s="1"/>
  <c r="V194" i="1" a="1"/>
  <c r="V194" i="1" s="1"/>
  <c r="W194" i="1" s="1"/>
  <c r="V195" i="1" a="1"/>
  <c r="V195" i="1" s="1"/>
  <c r="W195" i="1" s="1"/>
  <c r="V196" i="1" a="1"/>
  <c r="V196" i="1" s="1"/>
  <c r="W196" i="1" s="1"/>
  <c r="V197" i="1" a="1"/>
  <c r="V197" i="1" s="1"/>
  <c r="W197" i="1" s="1"/>
  <c r="V198" i="1" a="1"/>
  <c r="V198" i="1" s="1"/>
  <c r="W198" i="1" s="1"/>
  <c r="V199" i="1" a="1"/>
  <c r="V199" i="1" s="1"/>
  <c r="W199" i="1" s="1"/>
  <c r="V200" i="1" a="1"/>
  <c r="V200" i="1" s="1"/>
  <c r="W200" i="1" s="1"/>
  <c r="V201" i="1" a="1"/>
  <c r="V201" i="1" s="1"/>
  <c r="W201" i="1" s="1"/>
  <c r="V202" i="1" a="1"/>
  <c r="V202" i="1" s="1"/>
  <c r="W202" i="1" s="1"/>
  <c r="V203" i="1" a="1"/>
  <c r="V203" i="1" s="1"/>
  <c r="W203" i="1" s="1"/>
  <c r="V204" i="1" a="1"/>
  <c r="V204" i="1" s="1"/>
  <c r="W204" i="1" s="1"/>
  <c r="V205" i="1" a="1"/>
  <c r="V205" i="1" s="1"/>
  <c r="W205" i="1" s="1"/>
  <c r="V206" i="1" a="1"/>
  <c r="V206" i="1" s="1"/>
  <c r="W206" i="1" s="1"/>
  <c r="V207" i="1" a="1"/>
  <c r="V207" i="1" s="1"/>
  <c r="W207" i="1" s="1"/>
  <c r="V208" i="1" a="1"/>
  <c r="V208" i="1" s="1"/>
  <c r="W208" i="1" s="1"/>
  <c r="V209" i="1" a="1"/>
  <c r="V209" i="1" s="1"/>
  <c r="W209" i="1" s="1"/>
  <c r="V210" i="1" a="1"/>
  <c r="V210" i="1" s="1"/>
  <c r="W210" i="1" s="1"/>
  <c r="V211" i="1" a="1"/>
  <c r="V211" i="1" s="1"/>
  <c r="W211" i="1" s="1"/>
  <c r="V212" i="1" a="1"/>
  <c r="V212" i="1" s="1"/>
  <c r="W212" i="1" s="1"/>
  <c r="V213" i="1" a="1"/>
  <c r="V213" i="1" s="1"/>
  <c r="W213" i="1" s="1"/>
  <c r="V214" i="1" a="1"/>
  <c r="V214" i="1" s="1"/>
  <c r="W214" i="1" s="1"/>
  <c r="V215" i="1" a="1"/>
  <c r="V215" i="1" s="1"/>
  <c r="W215" i="1" s="1"/>
  <c r="V216" i="1" a="1"/>
  <c r="V216" i="1" s="1"/>
  <c r="W216" i="1" s="1"/>
  <c r="V217" i="1" a="1"/>
  <c r="V217" i="1" s="1"/>
  <c r="W217" i="1" s="1"/>
  <c r="V218" i="1" a="1"/>
  <c r="V218" i="1" s="1"/>
  <c r="W218" i="1" s="1"/>
  <c r="V219" i="1" a="1"/>
  <c r="V219" i="1" s="1"/>
  <c r="W219" i="1" s="1"/>
  <c r="V220" i="1" a="1"/>
  <c r="V220" i="1" s="1"/>
  <c r="W220" i="1" s="1"/>
  <c r="V221" i="1" a="1"/>
  <c r="V221" i="1" s="1"/>
  <c r="W221" i="1" s="1"/>
  <c r="V222" i="1" a="1"/>
  <c r="V222" i="1" s="1"/>
  <c r="W222" i="1" s="1"/>
  <c r="V223" i="1" a="1"/>
  <c r="V223" i="1" s="1"/>
  <c r="W223" i="1" s="1"/>
  <c r="V224" i="1" a="1"/>
  <c r="V224" i="1" s="1"/>
  <c r="W224" i="1" s="1"/>
  <c r="V225" i="1" a="1"/>
  <c r="V225" i="1" s="1"/>
  <c r="W225" i="1" s="1"/>
  <c r="V226" i="1" a="1"/>
  <c r="V226" i="1" s="1"/>
  <c r="W226" i="1" s="1"/>
  <c r="V227" i="1" a="1"/>
  <c r="V227" i="1" s="1"/>
  <c r="W227" i="1" s="1"/>
  <c r="V228" i="1" a="1"/>
  <c r="V228" i="1" s="1"/>
  <c r="W228" i="1" s="1"/>
  <c r="V229" i="1" a="1"/>
  <c r="V229" i="1" s="1"/>
  <c r="W229" i="1" s="1"/>
  <c r="V230" i="1" a="1"/>
  <c r="V230" i="1" s="1"/>
  <c r="W230" i="1" s="1"/>
  <c r="V231" i="1" a="1"/>
  <c r="V231" i="1" s="1"/>
  <c r="W231" i="1" s="1"/>
  <c r="V232" i="1" a="1"/>
  <c r="V232" i="1" s="1"/>
  <c r="W232" i="1" s="1"/>
  <c r="V233" i="1" a="1"/>
  <c r="V233" i="1" s="1"/>
  <c r="W233" i="1" s="1"/>
  <c r="V234" i="1" a="1"/>
  <c r="V234" i="1" s="1"/>
  <c r="W234" i="1" s="1"/>
  <c r="V235" i="1" a="1"/>
  <c r="V235" i="1" s="1"/>
  <c r="W235" i="1" s="1"/>
  <c r="V236" i="1" a="1"/>
  <c r="V236" i="1" s="1"/>
  <c r="W236" i="1" s="1"/>
  <c r="V237" i="1" a="1"/>
  <c r="V237" i="1" s="1"/>
  <c r="W237" i="1" s="1"/>
  <c r="V238" i="1" a="1"/>
  <c r="V238" i="1" s="1"/>
  <c r="W238" i="1" s="1"/>
  <c r="V239" i="1" a="1"/>
  <c r="V239" i="1" s="1"/>
  <c r="W239" i="1" s="1"/>
  <c r="V240" i="1" a="1"/>
  <c r="V240" i="1" s="1"/>
  <c r="W240" i="1" s="1"/>
  <c r="V241" i="1" a="1"/>
  <c r="V241" i="1" s="1"/>
  <c r="W241" i="1" s="1"/>
  <c r="V242" i="1" a="1"/>
  <c r="V242" i="1" s="1"/>
  <c r="W242" i="1" s="1"/>
  <c r="V243" i="1" a="1"/>
  <c r="V243" i="1" s="1"/>
  <c r="W243" i="1" s="1"/>
  <c r="V244" i="1" a="1"/>
  <c r="V244" i="1" s="1"/>
  <c r="W244" i="1" s="1"/>
  <c r="V245" i="1" a="1"/>
  <c r="V245" i="1" s="1"/>
  <c r="W245" i="1" s="1"/>
  <c r="V246" i="1" a="1"/>
  <c r="V246" i="1" s="1"/>
  <c r="W246" i="1" s="1"/>
  <c r="V247" i="1" a="1"/>
  <c r="V247" i="1" s="1"/>
  <c r="W247" i="1" s="1"/>
  <c r="V248" i="1" a="1"/>
  <c r="V248" i="1" s="1"/>
  <c r="W248" i="1" s="1"/>
  <c r="V249" i="1" a="1"/>
  <c r="V249" i="1" s="1"/>
  <c r="W249" i="1" s="1"/>
  <c r="V250" i="1" a="1"/>
  <c r="V250" i="1" s="1"/>
  <c r="W250" i="1" s="1"/>
  <c r="V251" i="1" a="1"/>
  <c r="V251" i="1" s="1"/>
  <c r="W251" i="1" s="1"/>
  <c r="V252" i="1" a="1"/>
  <c r="V252" i="1" s="1"/>
  <c r="W252" i="1" s="1"/>
  <c r="V253" i="1" a="1"/>
  <c r="V253" i="1" s="1"/>
  <c r="W253" i="1" s="1"/>
  <c r="V254" i="1" a="1"/>
  <c r="V254" i="1" s="1"/>
  <c r="W254" i="1" s="1"/>
  <c r="V255" i="1" a="1"/>
  <c r="V255" i="1" s="1"/>
  <c r="W255" i="1" s="1"/>
  <c r="V256" i="1" a="1"/>
  <c r="V256" i="1" s="1"/>
  <c r="W256" i="1" s="1"/>
  <c r="V257" i="1" a="1"/>
  <c r="V257" i="1" s="1"/>
  <c r="W257" i="1" s="1"/>
  <c r="V258" i="1" a="1"/>
  <c r="V258" i="1" s="1"/>
  <c r="W258" i="1" s="1"/>
  <c r="V4" i="1" a="1"/>
  <c r="V4" i="1" s="1"/>
  <c r="W4" i="1" s="1"/>
  <c r="AG32" i="1" a="1"/>
  <c r="AG32" i="1" s="1"/>
  <c r="AG33" i="1" a="1"/>
  <c r="AG33" i="1" s="1"/>
  <c r="AG34" i="1" a="1"/>
  <c r="AG34" i="1" s="1"/>
  <c r="AG31" i="1" a="1"/>
  <c r="AG31" i="1" s="1"/>
  <c r="U2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<sst xmlns="http://schemas.openxmlformats.org/spreadsheetml/2006/main" count="35" uniqueCount="22">
  <si>
    <t>IC1</t>
  </si>
  <si>
    <t>(Vth_BL = 98)</t>
  </si>
  <si>
    <t>IC2</t>
  </si>
  <si>
    <t>(Vth_BL = 99)</t>
  </si>
  <si>
    <t>IC3</t>
  </si>
  <si>
    <t>(Vth_BL=89)</t>
  </si>
  <si>
    <t>ENERGY</t>
  </si>
  <si>
    <t>TH0</t>
  </si>
  <si>
    <t>V_TH0</t>
  </si>
  <si>
    <t>TH1</t>
  </si>
  <si>
    <t>VTH1</t>
  </si>
  <si>
    <t>TH2</t>
  </si>
  <si>
    <t>VTH2</t>
  </si>
  <si>
    <t>| Vsignal | (V)</t>
  </si>
  <si>
    <t>ADC Value</t>
  </si>
  <si>
    <t>air gap (mm)</t>
  </si>
  <si>
    <t>Energy (eV)</t>
  </si>
  <si>
    <t>interpolated energy (eV)</t>
  </si>
  <si>
    <t>Threshold</t>
  </si>
  <si>
    <t>Colonne</t>
  </si>
  <si>
    <t>Abeast</t>
  </si>
  <si>
    <t>Energy &lt;=&gt; Vsignal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</si>
</sst>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b/>
      <sz val="11"/>
      <color rgb="FFFFFFFF"/>
      <name val="Calibri"/>
      <family val="2"/>
    </font>
    <font>
      <sz val="10"/>
      <color theme="0"/>
      <name val="Liberation Sans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1"/>
        <bgColor rgb="FF000000"/>
      </patternFill>
    </fill>
  </fills>
  <borders count="3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FF0000"/>
      </right>
      <top style="thin">
        <color rgb="FF000000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theme="1"/>
      </top>
      <bottom style="medium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64">
    <xf numFmtId="0" fontId="0" fillId="0" borderId="0" xfId="0"/>
    <xf numFmtId="0" fontId="14" fillId="2" borderId="2" xfId="0" applyFont="1" applyFill="1" applyBorder="1"/>
    <xf numFmtId="0" fontId="14" fillId="2" borderId="3" xfId="0" applyFont="1" applyFill="1" applyBorder="1"/>
    <xf numFmtId="0" fontId="0" fillId="2" borderId="0" xfId="0" applyFill="1"/>
    <xf numFmtId="0" fontId="14" fillId="2" borderId="4" xfId="0" applyFont="1" applyFill="1" applyBorder="1"/>
    <xf numFmtId="0" fontId="0" fillId="9" borderId="0" xfId="0" applyFill="1"/>
    <xf numFmtId="0" fontId="0" fillId="9" borderId="2" xfId="0" applyFill="1" applyBorder="1"/>
    <xf numFmtId="0" fontId="0" fillId="9" borderId="4" xfId="0" applyFill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14" fillId="2" borderId="0" xfId="0" applyFont="1" applyFill="1" applyBorder="1"/>
    <xf numFmtId="0" fontId="0" fillId="10" borderId="0" xfId="0" applyFill="1"/>
    <xf numFmtId="0" fontId="0" fillId="11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9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12" borderId="0" xfId="0" applyFill="1"/>
    <xf numFmtId="0" fontId="0" fillId="9" borderId="18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13" borderId="0" xfId="0" applyFill="1" applyBorder="1"/>
    <xf numFmtId="0" fontId="14" fillId="13" borderId="0" xfId="0" applyFont="1" applyFill="1" applyBorder="1"/>
    <xf numFmtId="0" fontId="0" fillId="10" borderId="0" xfId="0" applyFill="1" applyBorder="1"/>
    <xf numFmtId="0" fontId="0" fillId="11" borderId="0" xfId="0" applyFill="1" applyBorder="1"/>
    <xf numFmtId="0" fontId="14" fillId="2" borderId="22" xfId="0" applyFont="1" applyFill="1" applyBorder="1"/>
    <xf numFmtId="0" fontId="14" fillId="2" borderId="17" xfId="0" applyFont="1" applyFill="1" applyBorder="1"/>
    <xf numFmtId="0" fontId="0" fillId="9" borderId="8" xfId="0" applyFill="1" applyBorder="1"/>
    <xf numFmtId="0" fontId="0" fillId="9" borderId="9" xfId="0" applyFill="1" applyBorder="1"/>
    <xf numFmtId="0" fontId="14" fillId="2" borderId="23" xfId="0" applyFont="1" applyFill="1" applyBorder="1"/>
    <xf numFmtId="0" fontId="15" fillId="2" borderId="24" xfId="0" applyFont="1" applyFill="1" applyBorder="1"/>
    <xf numFmtId="0" fontId="0" fillId="2" borderId="26" xfId="0" applyFont="1" applyFill="1" applyBorder="1"/>
    <xf numFmtId="0" fontId="0" fillId="2" borderId="25" xfId="0" applyFont="1" applyFill="1" applyBorder="1"/>
    <xf numFmtId="0" fontId="14" fillId="2" borderId="27" xfId="0" applyFont="1" applyFill="1" applyBorder="1"/>
    <xf numFmtId="0" fontId="14" fillId="2" borderId="28" xfId="0" applyFont="1" applyFill="1" applyBorder="1"/>
    <xf numFmtId="0" fontId="14" fillId="2" borderId="29" xfId="0" applyFont="1" applyFill="1" applyBorder="1"/>
    <xf numFmtId="0" fontId="14" fillId="2" borderId="30" xfId="0" applyFont="1" applyFill="1" applyBorder="1"/>
    <xf numFmtId="0" fontId="14" fillId="2" borderId="31" xfId="0" applyFont="1" applyFill="1" applyBorder="1"/>
    <xf numFmtId="0" fontId="14" fillId="2" borderId="32" xfId="0" applyFont="1" applyFill="1" applyBorder="1"/>
    <xf numFmtId="0" fontId="0" fillId="9" borderId="33" xfId="0" applyFill="1" applyBorder="1" applyAlignment="1">
      <alignment vertical="center" wrapText="1"/>
    </xf>
    <xf numFmtId="0" fontId="0" fillId="9" borderId="0" xfId="0" applyFill="1" applyBorder="1"/>
    <xf numFmtId="0" fontId="0" fillId="9" borderId="0" xfId="0" applyFill="1" applyBorder="1" applyAlignment="1">
      <alignment vertical="center" wrapText="1"/>
    </xf>
    <xf numFmtId="0" fontId="0" fillId="9" borderId="34" xfId="0" applyFill="1" applyBorder="1"/>
    <xf numFmtId="0" fontId="0" fillId="0" borderId="33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34" xfId="0" applyBorder="1"/>
    <xf numFmtId="0" fontId="0" fillId="0" borderId="34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37" xfId="0" applyBorder="1"/>
  </cellXfs>
  <cellStyles count="20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Default" xfId="7" xr:uid="{00000000-0005-0000-0000-000005000000}"/>
    <cellStyle name="Error" xfId="8" xr:uid="{00000000-0005-0000-0000-000006000000}"/>
    <cellStyle name="Footnote" xfId="9" xr:uid="{00000000-0005-0000-0000-000007000000}"/>
    <cellStyle name="Good" xfId="10" xr:uid="{00000000-0005-0000-0000-000008000000}"/>
    <cellStyle name="Heading" xfId="11" xr:uid="{00000000-0005-0000-0000-000009000000}"/>
    <cellStyle name="Heading 1" xfId="12" xr:uid="{00000000-0005-0000-0000-00000A000000}"/>
    <cellStyle name="Heading 2" xfId="13" xr:uid="{00000000-0005-0000-0000-00000B000000}"/>
    <cellStyle name="Hyperlink" xfId="14" xr:uid="{00000000-0005-0000-0000-00000C000000}"/>
    <cellStyle name="Neutral" xfId="15" xr:uid="{00000000-0005-0000-0000-00000D000000}"/>
    <cellStyle name="Normal" xfId="0" builtinId="0" customBuiltin="1"/>
    <cellStyle name="Note" xfId="1" builtinId="10" customBuiltin="1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3540420" y="15465650"/>
    <xdr:ext cx="12709800" cy="7269120"/>
    <xdr:pic>
      <xdr:nvPicPr>
        <xdr:cNvPr id="2" name="Image 1">
          <a:extLst>
            <a:ext uri="{FF2B5EF4-FFF2-40B4-BE49-F238E27FC236}">
              <a16:creationId xmlns:a16="http://schemas.microsoft.com/office/drawing/2014/main" id="{E2B742DF-7820-49E5-9C81-4B0228CE6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540420" y="15465650"/>
          <a:ext cx="12709800" cy="7269120"/>
        </a:xfrm>
        <a:prstGeom prst="rect">
          <a:avLst/>
        </a:prstGeom>
        <a:noFill/>
        <a:ln>
          <a:noFill/>
        </a:ln>
      </xdr:spPr>
    </xdr:pic>
    <xdr:clientData/>
  </xdr:absoluteAnchor>
  <xdr:absoluteAnchor>
    <xdr:pos x="23524900" y="8233859"/>
    <xdr:ext cx="12709800" cy="7269120"/>
    <xdr:pic>
      <xdr:nvPicPr>
        <xdr:cNvPr id="3" name="Image 2">
          <a:extLst>
            <a:ext uri="{FF2B5EF4-FFF2-40B4-BE49-F238E27FC236}">
              <a16:creationId xmlns:a16="http://schemas.microsoft.com/office/drawing/2014/main" id="{62D2C07C-4D77-44A2-9CBE-1F4A093EE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23524900" y="8233859"/>
          <a:ext cx="12709800" cy="7269120"/>
        </a:xfrm>
        <a:prstGeom prst="rect">
          <a:avLst/>
        </a:prstGeom>
        <a:noFill/>
        <a:ln>
          <a:noFill/>
        </a:ln>
      </xdr:spPr>
    </xdr:pic>
    <xdr:clientData/>
  </xdr:absoluteAnchor>
  <xdr:absoluteAnchor>
    <xdr:pos x="23547590" y="1275509"/>
    <xdr:ext cx="12709800" cy="7269120"/>
    <xdr:pic>
      <xdr:nvPicPr>
        <xdr:cNvPr id="4" name="Image 3">
          <a:extLst>
            <a:ext uri="{FF2B5EF4-FFF2-40B4-BE49-F238E27FC236}">
              <a16:creationId xmlns:a16="http://schemas.microsoft.com/office/drawing/2014/main" id="{03251799-4FC1-4186-AEAA-0CF907B33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23547590" y="1275509"/>
          <a:ext cx="12709800" cy="7269120"/>
        </a:xfrm>
        <a:prstGeom prst="rect">
          <a:avLst/>
        </a:prstGeom>
        <a:noFill/>
        <a:ln>
          <a:noFill/>
        </a:ln>
      </xdr:spPr>
    </xdr:pic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58"/>
  <sheetViews>
    <sheetView tabSelected="1" topLeftCell="A94" zoomScale="70" zoomScaleNormal="70" workbookViewId="0">
      <selection activeCell="A152" sqref="A152:XFD152"/>
    </sheetView>
  </sheetViews>
  <sheetFormatPr baseColWidth="10" defaultColWidth="11.6328125" defaultRowHeight="12.5" x14ac:dyDescent="0.25"/>
  <cols>
    <col min="1" max="23" width="11.6328125" customWidth="1"/>
    <col min="24" max="24" width="11.6328125" style="35" customWidth="1"/>
    <col min="25" max="29" width="11.6328125" customWidth="1"/>
  </cols>
  <sheetData>
    <row r="1" spans="1:61" ht="14.5" x14ac:dyDescent="0.35">
      <c r="A1" s="44" t="s">
        <v>0</v>
      </c>
      <c r="B1" s="45" t="s">
        <v>1</v>
      </c>
      <c r="C1" s="45"/>
      <c r="D1" s="45"/>
      <c r="E1" s="46"/>
      <c r="F1" s="47"/>
      <c r="G1" s="44" t="s">
        <v>2</v>
      </c>
      <c r="H1" s="45" t="s">
        <v>3</v>
      </c>
      <c r="I1" s="45"/>
      <c r="J1" s="45"/>
      <c r="K1" s="46"/>
      <c r="L1" s="47"/>
      <c r="M1" s="44" t="s">
        <v>4</v>
      </c>
      <c r="N1" s="45" t="s">
        <v>5</v>
      </c>
      <c r="O1" s="45"/>
      <c r="P1" s="45"/>
      <c r="Q1" s="46"/>
      <c r="R1" s="47"/>
      <c r="S1" s="12" t="s">
        <v>20</v>
      </c>
      <c r="T1" s="12" t="s">
        <v>18</v>
      </c>
      <c r="U1" s="12" t="s">
        <v>19</v>
      </c>
      <c r="V1" s="3" t="s">
        <v>6</v>
      </c>
      <c r="W1" s="3"/>
      <c r="X1" s="32"/>
      <c r="Y1" s="41" t="s">
        <v>21</v>
      </c>
      <c r="Z1" s="42"/>
      <c r="AA1" s="42"/>
      <c r="AB1" s="43"/>
    </row>
    <row r="2" spans="1:61" ht="14.5" x14ac:dyDescent="0.35">
      <c r="A2" s="48" t="s">
        <v>7</v>
      </c>
      <c r="B2" s="2" t="s">
        <v>8</v>
      </c>
      <c r="C2" s="2" t="s">
        <v>9</v>
      </c>
      <c r="D2" s="2" t="s">
        <v>10</v>
      </c>
      <c r="E2" s="1" t="s">
        <v>11</v>
      </c>
      <c r="F2" s="49" t="s">
        <v>12</v>
      </c>
      <c r="G2" s="48" t="s">
        <v>7</v>
      </c>
      <c r="H2" s="2" t="s">
        <v>8</v>
      </c>
      <c r="I2" s="2" t="s">
        <v>9</v>
      </c>
      <c r="J2" s="2" t="s">
        <v>10</v>
      </c>
      <c r="K2" s="1" t="s">
        <v>11</v>
      </c>
      <c r="L2" s="49" t="s">
        <v>12</v>
      </c>
      <c r="M2" s="48" t="s">
        <v>7</v>
      </c>
      <c r="N2" s="2" t="s">
        <v>8</v>
      </c>
      <c r="O2" s="2" t="s">
        <v>9</v>
      </c>
      <c r="P2" s="2" t="s">
        <v>10</v>
      </c>
      <c r="Q2" s="1" t="s">
        <v>11</v>
      </c>
      <c r="R2" s="49" t="s">
        <v>12</v>
      </c>
      <c r="S2">
        <v>3</v>
      </c>
      <c r="T2">
        <v>2</v>
      </c>
      <c r="U2">
        <f>2+2*((S2-1)*3+T2)</f>
        <v>18</v>
      </c>
      <c r="V2" s="1" t="s">
        <v>13</v>
      </c>
      <c r="W2" s="4" t="s">
        <v>14</v>
      </c>
      <c r="X2" s="33"/>
      <c r="Y2" s="37" t="s">
        <v>13</v>
      </c>
      <c r="Z2" s="40" t="s">
        <v>15</v>
      </c>
      <c r="AA2" s="40" t="s">
        <v>16</v>
      </c>
      <c r="AB2" s="36" t="s">
        <v>17</v>
      </c>
    </row>
    <row r="3" spans="1:61" s="5" customFormat="1" x14ac:dyDescent="0.25">
      <c r="A3" s="50">
        <v>255</v>
      </c>
      <c r="B3" s="51">
        <v>1.5576000000000001</v>
      </c>
      <c r="C3" s="51">
        <v>241</v>
      </c>
      <c r="D3" s="51">
        <v>1.557021</v>
      </c>
      <c r="E3" s="52">
        <v>242</v>
      </c>
      <c r="F3" s="53">
        <v>1.557029</v>
      </c>
      <c r="G3" s="50">
        <v>255</v>
      </c>
      <c r="H3" s="51">
        <v>1.5860000000000001</v>
      </c>
      <c r="I3" s="51">
        <v>248</v>
      </c>
      <c r="J3" s="51">
        <v>1.5860449999999999</v>
      </c>
      <c r="K3" s="51">
        <v>254</v>
      </c>
      <c r="L3" s="53">
        <v>1.5858479999999999</v>
      </c>
      <c r="M3" s="50">
        <v>255</v>
      </c>
      <c r="N3" s="51">
        <v>1.534</v>
      </c>
      <c r="O3" s="52">
        <v>255</v>
      </c>
      <c r="P3" s="51">
        <v>1.5320819999999999</v>
      </c>
      <c r="Q3" s="51">
        <v>253</v>
      </c>
      <c r="R3" s="53">
        <v>1.5344549999999999</v>
      </c>
      <c r="S3" s="13"/>
      <c r="T3" s="13"/>
      <c r="U3" s="13"/>
      <c r="V3" s="6">
        <v>0</v>
      </c>
      <c r="W3" s="7">
        <v>0</v>
      </c>
      <c r="X3" s="34"/>
      <c r="Y3" s="28">
        <v>0</v>
      </c>
      <c r="Z3" s="38"/>
      <c r="AA3" s="39"/>
      <c r="AB3" s="20"/>
      <c r="AC3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</row>
    <row r="4" spans="1:61" x14ac:dyDescent="0.25">
      <c r="A4" s="54">
        <v>254</v>
      </c>
      <c r="B4" s="55">
        <v>1.5560860000000001</v>
      </c>
      <c r="C4" s="55">
        <v>240</v>
      </c>
      <c r="D4" s="55">
        <v>1.5549999999999999</v>
      </c>
      <c r="E4" s="56">
        <v>241</v>
      </c>
      <c r="F4" s="57">
        <v>1.555043</v>
      </c>
      <c r="G4" s="54">
        <v>254</v>
      </c>
      <c r="H4" s="55">
        <v>1.5840000000000001</v>
      </c>
      <c r="I4" s="55">
        <f t="shared" ref="I4:I67" si="0">I3-1</f>
        <v>247</v>
      </c>
      <c r="J4" s="55">
        <v>1.58399</v>
      </c>
      <c r="K4" s="55">
        <f t="shared" ref="K4:K67" si="1">K3-1</f>
        <v>253</v>
      </c>
      <c r="L4" s="57">
        <v>1.5838650000000001</v>
      </c>
      <c r="M4" s="54">
        <v>254</v>
      </c>
      <c r="N4" s="55">
        <v>1.5319959999999999</v>
      </c>
      <c r="O4" s="56">
        <v>254</v>
      </c>
      <c r="P4" s="55">
        <v>1.5300020000000001</v>
      </c>
      <c r="Q4" s="55">
        <v>252</v>
      </c>
      <c r="R4" s="57">
        <v>1.5325880000000001</v>
      </c>
      <c r="S4" s="14"/>
      <c r="T4" s="14"/>
      <c r="U4" s="14"/>
      <c r="V4" s="8" cm="1">
        <f t="array" ref="V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3)+1),6),"")</f>
        <v>1.867E-3</v>
      </c>
      <c r="W4" s="9">
        <f>V4*16394.7314311978</f>
        <v>30.608963582046293</v>
      </c>
      <c r="Y4" s="29"/>
      <c r="Z4" s="8"/>
      <c r="AA4" s="9"/>
      <c r="AB4" s="21"/>
      <c r="AE4" s="27"/>
    </row>
    <row r="5" spans="1:61" x14ac:dyDescent="0.25">
      <c r="A5" s="54">
        <v>253</v>
      </c>
      <c r="B5" s="55">
        <v>1.5531109999999999</v>
      </c>
      <c r="C5" s="55">
        <v>239</v>
      </c>
      <c r="D5" s="55">
        <v>1.5469999999999999</v>
      </c>
      <c r="E5" s="56">
        <v>240</v>
      </c>
      <c r="F5" s="57">
        <v>1.5530550000000001</v>
      </c>
      <c r="G5" s="54">
        <v>253</v>
      </c>
      <c r="H5" s="55">
        <v>1.5800019999999999</v>
      </c>
      <c r="I5" s="55">
        <f t="shared" si="0"/>
        <v>246</v>
      </c>
      <c r="J5" s="55">
        <v>1.5800209999999999</v>
      </c>
      <c r="K5" s="55">
        <f t="shared" si="1"/>
        <v>252</v>
      </c>
      <c r="L5" s="57">
        <v>1.5799920000000001</v>
      </c>
      <c r="M5" s="54">
        <v>253</v>
      </c>
      <c r="N5" s="55">
        <v>1.5299020000000001</v>
      </c>
      <c r="O5" s="56">
        <v>253</v>
      </c>
      <c r="P5" s="55">
        <v>1.52799</v>
      </c>
      <c r="Q5" s="55">
        <v>251</v>
      </c>
      <c r="R5" s="57">
        <v>1.5319240000000001</v>
      </c>
      <c r="S5" s="14"/>
      <c r="T5" s="14"/>
      <c r="U5" s="14"/>
      <c r="V5" s="8" cm="1">
        <f t="array" ref="V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4)+1),6),"")</f>
        <v>2.5309999999999998E-3</v>
      </c>
      <c r="W5" s="9">
        <f t="shared" ref="W5:W68" si="2">V5*16394.7314311978</f>
        <v>41.495065252361634</v>
      </c>
      <c r="Y5" s="11"/>
      <c r="Z5" s="8"/>
      <c r="AA5" s="9"/>
      <c r="AB5" s="21"/>
    </row>
    <row r="6" spans="1:61" x14ac:dyDescent="0.25">
      <c r="A6" s="54">
        <v>252</v>
      </c>
      <c r="B6" s="55">
        <v>1.5508139999999999</v>
      </c>
      <c r="C6" s="55">
        <v>238</v>
      </c>
      <c r="D6" s="55">
        <v>1.544889</v>
      </c>
      <c r="E6" s="56">
        <v>239</v>
      </c>
      <c r="F6" s="57">
        <v>1.554217</v>
      </c>
      <c r="G6" s="54">
        <v>252</v>
      </c>
      <c r="H6" s="55">
        <v>1.5774079999999999</v>
      </c>
      <c r="I6" s="55">
        <f t="shared" si="0"/>
        <v>245</v>
      </c>
      <c r="J6" s="55">
        <v>1.5765210000000001</v>
      </c>
      <c r="K6" s="55">
        <f t="shared" si="1"/>
        <v>251</v>
      </c>
      <c r="L6" s="57">
        <v>1.5760099999999999</v>
      </c>
      <c r="M6" s="54">
        <v>252</v>
      </c>
      <c r="N6" s="55">
        <v>1.5275179999999999</v>
      </c>
      <c r="O6" s="56">
        <v>252</v>
      </c>
      <c r="P6" s="55">
        <v>1.5259879999999999</v>
      </c>
      <c r="Q6" s="55">
        <v>250</v>
      </c>
      <c r="R6" s="57">
        <v>1.528877</v>
      </c>
      <c r="S6" s="14"/>
      <c r="T6" s="14"/>
      <c r="U6" s="14"/>
      <c r="V6" s="8" cm="1">
        <f t="array" ref="V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5)+1),6),"")</f>
        <v>5.5779999999999996E-3</v>
      </c>
      <c r="W6" s="9">
        <f t="shared" si="2"/>
        <v>91.449811923221333</v>
      </c>
      <c r="Y6" s="11"/>
      <c r="Z6" s="8"/>
      <c r="AA6" s="9"/>
      <c r="AB6" s="21"/>
    </row>
    <row r="7" spans="1:61" x14ac:dyDescent="0.25">
      <c r="A7" s="54">
        <v>251</v>
      </c>
      <c r="B7" s="55">
        <v>1.546854</v>
      </c>
      <c r="C7" s="55">
        <v>237</v>
      </c>
      <c r="D7" s="55">
        <v>1.5429999999999999</v>
      </c>
      <c r="E7" s="56">
        <v>238</v>
      </c>
      <c r="F7" s="57">
        <v>1.550551</v>
      </c>
      <c r="G7" s="54">
        <v>251</v>
      </c>
      <c r="H7" s="55">
        <v>1.57477</v>
      </c>
      <c r="I7" s="55">
        <f t="shared" si="0"/>
        <v>244</v>
      </c>
      <c r="J7" s="55">
        <v>1.57223</v>
      </c>
      <c r="K7" s="55">
        <f t="shared" si="1"/>
        <v>250</v>
      </c>
      <c r="L7" s="57">
        <v>1.5720270000000001</v>
      </c>
      <c r="M7" s="54">
        <v>251</v>
      </c>
      <c r="N7" s="55">
        <v>1.5240860000000001</v>
      </c>
      <c r="O7" s="56">
        <v>251</v>
      </c>
      <c r="P7" s="55">
        <v>1.523998</v>
      </c>
      <c r="Q7" s="55">
        <v>249</v>
      </c>
      <c r="R7" s="57">
        <v>1.5260549999999999</v>
      </c>
      <c r="S7" s="14"/>
      <c r="T7" s="14"/>
      <c r="U7" s="14"/>
      <c r="V7" s="8" cm="1">
        <f t="array" ref="V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6)+1),6),"")</f>
        <v>8.3999999999999995E-3</v>
      </c>
      <c r="W7" s="9">
        <f t="shared" si="2"/>
        <v>137.71574402206153</v>
      </c>
      <c r="Y7" s="11"/>
      <c r="Z7" s="8"/>
      <c r="AA7" s="9"/>
      <c r="AB7" s="21"/>
    </row>
    <row r="8" spans="1:61" x14ac:dyDescent="0.25">
      <c r="A8" s="54">
        <v>250</v>
      </c>
      <c r="B8" s="55">
        <v>1.5449999999999999</v>
      </c>
      <c r="C8" s="55">
        <v>236</v>
      </c>
      <c r="D8" s="55">
        <v>1.5389999999999999</v>
      </c>
      <c r="E8" s="56">
        <v>237</v>
      </c>
      <c r="F8" s="57">
        <v>1.546373</v>
      </c>
      <c r="G8" s="54">
        <v>250</v>
      </c>
      <c r="H8" s="55">
        <v>1.5720000000000001</v>
      </c>
      <c r="I8" s="55">
        <f t="shared" si="0"/>
        <v>243</v>
      </c>
      <c r="J8" s="55">
        <v>1.570004</v>
      </c>
      <c r="K8" s="55">
        <f t="shared" si="1"/>
        <v>249</v>
      </c>
      <c r="L8" s="57">
        <v>1.570025</v>
      </c>
      <c r="M8" s="54">
        <v>250</v>
      </c>
      <c r="N8" s="55">
        <v>1.5221880000000001</v>
      </c>
      <c r="O8" s="56">
        <v>250</v>
      </c>
      <c r="P8" s="55">
        <v>1.5219959999999999</v>
      </c>
      <c r="Q8" s="55">
        <v>248</v>
      </c>
      <c r="R8" s="57">
        <v>1.5240389999999999</v>
      </c>
      <c r="S8" s="14"/>
      <c r="T8" s="14"/>
      <c r="U8" s="14"/>
      <c r="V8" s="8" cm="1">
        <f t="array" ref="V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7)+1),6),"")</f>
        <v>1.0416E-2</v>
      </c>
      <c r="W8" s="9">
        <f t="shared" si="2"/>
        <v>170.7675225873563</v>
      </c>
      <c r="Y8" s="11"/>
      <c r="Z8" s="8"/>
      <c r="AA8" s="9"/>
      <c r="AB8" s="21"/>
    </row>
    <row r="9" spans="1:61" x14ac:dyDescent="0.25">
      <c r="A9" s="54">
        <v>249</v>
      </c>
      <c r="B9" s="55">
        <v>1.542279</v>
      </c>
      <c r="C9" s="55">
        <v>235</v>
      </c>
      <c r="D9" s="55">
        <v>1.5369999999999999</v>
      </c>
      <c r="E9" s="56">
        <v>236</v>
      </c>
      <c r="F9" s="57">
        <v>1.543566</v>
      </c>
      <c r="G9" s="54">
        <v>249</v>
      </c>
      <c r="H9" s="55">
        <v>1.5687070000000001</v>
      </c>
      <c r="I9" s="55">
        <f t="shared" si="0"/>
        <v>242</v>
      </c>
      <c r="J9" s="55">
        <v>1.5680019999999999</v>
      </c>
      <c r="K9" s="55">
        <f t="shared" si="1"/>
        <v>248</v>
      </c>
      <c r="L9" s="57">
        <v>1.568004</v>
      </c>
      <c r="M9" s="54">
        <v>249</v>
      </c>
      <c r="N9" s="55">
        <v>1.5160720000000001</v>
      </c>
      <c r="O9" s="56">
        <v>249</v>
      </c>
      <c r="P9" s="55">
        <v>1.5140039999999999</v>
      </c>
      <c r="Q9" s="55">
        <v>247</v>
      </c>
      <c r="R9" s="57">
        <v>1.5220039999999999</v>
      </c>
      <c r="S9" s="14"/>
      <c r="T9" s="14"/>
      <c r="U9" s="14"/>
      <c r="V9" s="8" cm="1">
        <f t="array" ref="V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8)+1),6),"")</f>
        <v>1.2451E-2</v>
      </c>
      <c r="W9" s="9">
        <f t="shared" si="2"/>
        <v>204.13080104984383</v>
      </c>
      <c r="Y9" s="11"/>
      <c r="Z9" s="8"/>
      <c r="AA9" s="9"/>
      <c r="AB9" s="21"/>
    </row>
    <row r="10" spans="1:61" x14ac:dyDescent="0.25">
      <c r="A10" s="54">
        <v>248</v>
      </c>
      <c r="B10" s="55">
        <v>1.5389999999999999</v>
      </c>
      <c r="C10" s="55">
        <v>234</v>
      </c>
      <c r="D10" s="55">
        <v>1.5347360000000001</v>
      </c>
      <c r="E10" s="56">
        <v>235</v>
      </c>
      <c r="F10" s="57">
        <v>1.539404</v>
      </c>
      <c r="G10" s="54">
        <v>248</v>
      </c>
      <c r="H10" s="55">
        <v>1.5679080000000001</v>
      </c>
      <c r="I10" s="55">
        <f t="shared" si="0"/>
        <v>241</v>
      </c>
      <c r="J10" s="55">
        <v>1.5660430000000001</v>
      </c>
      <c r="K10" s="55">
        <f t="shared" si="1"/>
        <v>247</v>
      </c>
      <c r="L10" s="57">
        <v>1.5658300000000001</v>
      </c>
      <c r="M10" s="54">
        <v>248</v>
      </c>
      <c r="N10" s="55">
        <v>1.5136559999999999</v>
      </c>
      <c r="O10" s="56">
        <v>248</v>
      </c>
      <c r="P10" s="55">
        <v>1.5120020000000001</v>
      </c>
      <c r="Q10" s="55">
        <v>246</v>
      </c>
      <c r="R10" s="57">
        <v>1.514027</v>
      </c>
      <c r="S10" s="14"/>
      <c r="T10" s="14"/>
      <c r="U10" s="14"/>
      <c r="V10" s="8" cm="1">
        <f t="array" ref="V1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9)+1),6),"")</f>
        <v>2.0428000000000002E-2</v>
      </c>
      <c r="W10" s="9">
        <f t="shared" si="2"/>
        <v>334.91157367650868</v>
      </c>
      <c r="Y10" s="11"/>
      <c r="Z10" s="8"/>
      <c r="AA10" s="9"/>
      <c r="AB10" s="21"/>
    </row>
    <row r="11" spans="1:61" x14ac:dyDescent="0.25">
      <c r="A11" s="54">
        <v>247</v>
      </c>
      <c r="B11" s="55">
        <v>1.5369999999999999</v>
      </c>
      <c r="C11" s="55">
        <v>233</v>
      </c>
      <c r="D11" s="55">
        <v>1.532969</v>
      </c>
      <c r="E11" s="56">
        <v>235</v>
      </c>
      <c r="F11" s="57">
        <v>1.5370980000000001</v>
      </c>
      <c r="G11" s="54">
        <v>247</v>
      </c>
      <c r="H11" s="55">
        <v>1.563992</v>
      </c>
      <c r="I11" s="55">
        <f t="shared" si="0"/>
        <v>240</v>
      </c>
      <c r="J11" s="55">
        <v>1.564041</v>
      </c>
      <c r="K11" s="55">
        <f t="shared" si="1"/>
        <v>246</v>
      </c>
      <c r="L11" s="57">
        <v>1.5626880000000001</v>
      </c>
      <c r="M11" s="54">
        <v>247</v>
      </c>
      <c r="N11" s="55">
        <v>1.510893</v>
      </c>
      <c r="O11" s="56">
        <v>247</v>
      </c>
      <c r="P11" s="55">
        <v>1.51</v>
      </c>
      <c r="Q11" s="55">
        <v>245</v>
      </c>
      <c r="R11" s="57">
        <v>1.5120180000000001</v>
      </c>
      <c r="S11" s="14"/>
      <c r="T11" s="14"/>
      <c r="U11" s="14"/>
      <c r="V11" s="8" cm="1">
        <f t="array" ref="V1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10)+1),6),"")</f>
        <v>2.2436999999999999E-2</v>
      </c>
      <c r="W11" s="9">
        <f t="shared" si="2"/>
        <v>367.84858912178504</v>
      </c>
      <c r="Y11" s="11"/>
      <c r="Z11" s="8"/>
      <c r="AA11" s="9"/>
      <c r="AB11" s="21"/>
    </row>
    <row r="12" spans="1:61" x14ac:dyDescent="0.25">
      <c r="A12" s="54">
        <v>246</v>
      </c>
      <c r="B12" s="55">
        <v>1.5349999999999999</v>
      </c>
      <c r="C12" s="55">
        <v>232</v>
      </c>
      <c r="D12" s="55">
        <v>1.530816</v>
      </c>
      <c r="E12" s="56">
        <v>234</v>
      </c>
      <c r="F12" s="57">
        <v>1.535037</v>
      </c>
      <c r="G12" s="54">
        <v>246</v>
      </c>
      <c r="H12" s="55">
        <v>1.5600430000000001</v>
      </c>
      <c r="I12" s="55">
        <f t="shared" si="0"/>
        <v>239</v>
      </c>
      <c r="J12" s="55">
        <v>1.5602210000000001</v>
      </c>
      <c r="K12" s="55">
        <f t="shared" si="1"/>
        <v>245</v>
      </c>
      <c r="L12" s="57">
        <v>1.5584979999999999</v>
      </c>
      <c r="M12" s="54">
        <v>246</v>
      </c>
      <c r="N12" s="55">
        <v>1.509754</v>
      </c>
      <c r="O12" s="56">
        <v>246</v>
      </c>
      <c r="P12" s="55">
        <v>1.508</v>
      </c>
      <c r="Q12" s="55">
        <v>244</v>
      </c>
      <c r="R12" s="57">
        <v>1.51</v>
      </c>
      <c r="S12" s="14"/>
      <c r="T12" s="14"/>
      <c r="U12" s="14"/>
      <c r="V12" s="8" cm="1">
        <f t="array" ref="V1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11)+1),6),"")</f>
        <v>2.4455000000000001E-2</v>
      </c>
      <c r="W12" s="9">
        <f t="shared" si="2"/>
        <v>400.93315714994225</v>
      </c>
      <c r="Y12" s="11"/>
      <c r="Z12" s="8"/>
      <c r="AA12" s="9"/>
      <c r="AB12" s="21"/>
    </row>
    <row r="13" spans="1:61" x14ac:dyDescent="0.25">
      <c r="A13" s="54">
        <v>245</v>
      </c>
      <c r="B13" s="55">
        <v>1.53285</v>
      </c>
      <c r="C13" s="55">
        <v>231</v>
      </c>
      <c r="D13" s="55">
        <v>1.5288809999999999</v>
      </c>
      <c r="E13" s="56">
        <v>233</v>
      </c>
      <c r="F13" s="57">
        <v>1.5329919999999999</v>
      </c>
      <c r="G13" s="54">
        <v>245</v>
      </c>
      <c r="H13" s="55">
        <v>1.55793</v>
      </c>
      <c r="I13" s="55">
        <f t="shared" si="0"/>
        <v>238</v>
      </c>
      <c r="J13" s="55">
        <v>1.5580099999999999</v>
      </c>
      <c r="K13" s="55">
        <f t="shared" si="1"/>
        <v>244</v>
      </c>
      <c r="L13" s="57">
        <v>1.5569569999999999</v>
      </c>
      <c r="M13" s="54">
        <v>245</v>
      </c>
      <c r="N13" s="55">
        <v>1.5062709999999999</v>
      </c>
      <c r="O13" s="56">
        <v>245</v>
      </c>
      <c r="P13" s="55">
        <v>1.505992</v>
      </c>
      <c r="Q13" s="55">
        <v>243</v>
      </c>
      <c r="R13" s="57">
        <v>1.509414</v>
      </c>
      <c r="S13" s="14"/>
      <c r="T13" s="14"/>
      <c r="U13" s="14"/>
      <c r="V13" s="8" cm="1">
        <f t="array" ref="V1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12)+1),6),"")</f>
        <v>2.5041000000000001E-2</v>
      </c>
      <c r="W13" s="9">
        <f t="shared" si="2"/>
        <v>410.54046976862412</v>
      </c>
      <c r="Y13" s="11"/>
      <c r="Z13" s="8"/>
      <c r="AA13" s="9"/>
      <c r="AB13" s="21"/>
    </row>
    <row r="14" spans="1:61" x14ac:dyDescent="0.25">
      <c r="A14" s="54">
        <v>244</v>
      </c>
      <c r="B14" s="55">
        <v>1.5309919999999999</v>
      </c>
      <c r="C14" s="55">
        <v>230</v>
      </c>
      <c r="D14" s="55">
        <v>1.5218609999999999</v>
      </c>
      <c r="E14" s="56">
        <v>232</v>
      </c>
      <c r="F14" s="57">
        <v>1.530977</v>
      </c>
      <c r="G14" s="54">
        <v>244</v>
      </c>
      <c r="H14" s="55">
        <v>1.555998</v>
      </c>
      <c r="I14" s="55">
        <f t="shared" si="0"/>
        <v>237</v>
      </c>
      <c r="J14" s="55">
        <v>1.5560020000000001</v>
      </c>
      <c r="K14" s="55">
        <f t="shared" si="1"/>
        <v>243</v>
      </c>
      <c r="L14" s="57">
        <v>1.5551969999999999</v>
      </c>
      <c r="M14" s="54">
        <v>244</v>
      </c>
      <c r="N14" s="55">
        <v>1.504318</v>
      </c>
      <c r="O14" s="56">
        <v>244</v>
      </c>
      <c r="P14" s="55">
        <v>1.5032380000000001</v>
      </c>
      <c r="Q14" s="55">
        <v>242</v>
      </c>
      <c r="R14" s="57">
        <v>1.5060199999999999</v>
      </c>
      <c r="S14" s="14"/>
      <c r="T14" s="14"/>
      <c r="U14" s="14"/>
      <c r="V14" s="8" cm="1">
        <f t="array" ref="V1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13)+1),6),"")</f>
        <v>2.8434999999999998E-2</v>
      </c>
      <c r="W14" s="9">
        <f t="shared" si="2"/>
        <v>466.18418824610944</v>
      </c>
      <c r="Y14" s="11"/>
      <c r="Z14" s="8"/>
      <c r="AA14" s="9"/>
      <c r="AB14" s="21"/>
    </row>
    <row r="15" spans="1:61" x14ac:dyDescent="0.25">
      <c r="A15" s="54">
        <v>243</v>
      </c>
      <c r="B15" s="55">
        <v>1.528975</v>
      </c>
      <c r="C15" s="55">
        <v>229</v>
      </c>
      <c r="D15" s="55">
        <v>1.5189999999999999</v>
      </c>
      <c r="E15" s="56">
        <v>231</v>
      </c>
      <c r="F15" s="57">
        <v>1.5289410000000001</v>
      </c>
      <c r="G15" s="54">
        <v>243</v>
      </c>
      <c r="H15" s="55">
        <v>1.553982</v>
      </c>
      <c r="I15" s="55">
        <f t="shared" si="0"/>
        <v>236</v>
      </c>
      <c r="J15" s="55">
        <v>1.554162</v>
      </c>
      <c r="K15" s="55">
        <f t="shared" si="1"/>
        <v>242</v>
      </c>
      <c r="L15" s="57">
        <v>1.552613</v>
      </c>
      <c r="M15" s="54">
        <v>243</v>
      </c>
      <c r="N15" s="55">
        <v>1.502</v>
      </c>
      <c r="O15" s="56">
        <v>243</v>
      </c>
      <c r="P15" s="55">
        <v>1.501898</v>
      </c>
      <c r="Q15" s="55">
        <v>241</v>
      </c>
      <c r="R15" s="57">
        <v>1.5040039999999999</v>
      </c>
      <c r="S15" s="14"/>
      <c r="T15" s="14"/>
      <c r="U15" s="14"/>
      <c r="V15" s="8" cm="1">
        <f t="array" ref="V1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14)+1),6),"")</f>
        <v>3.0450999999999999E-2</v>
      </c>
      <c r="W15" s="9">
        <f t="shared" si="2"/>
        <v>499.23596681140424</v>
      </c>
      <c r="Y15" s="30">
        <v>3.1864000000000101E-2</v>
      </c>
      <c r="Z15" s="15">
        <v>40</v>
      </c>
      <c r="AA15" s="16">
        <v>165470.32999999999</v>
      </c>
      <c r="AB15" s="22">
        <v>165470.32999999999</v>
      </c>
    </row>
    <row r="16" spans="1:61" x14ac:dyDescent="0.25">
      <c r="A16" s="54">
        <v>242</v>
      </c>
      <c r="B16" s="55">
        <v>1.52698</v>
      </c>
      <c r="C16" s="55">
        <v>228</v>
      </c>
      <c r="D16" s="55">
        <v>1.516861</v>
      </c>
      <c r="E16" s="56">
        <v>230</v>
      </c>
      <c r="F16" s="57">
        <v>1.5264040000000001</v>
      </c>
      <c r="G16" s="54">
        <v>242</v>
      </c>
      <c r="H16" s="55">
        <v>1.5481370000000001</v>
      </c>
      <c r="I16" s="55">
        <f t="shared" si="0"/>
        <v>235</v>
      </c>
      <c r="J16" s="55">
        <v>1.5480039999999999</v>
      </c>
      <c r="K16" s="55">
        <f t="shared" si="1"/>
        <v>241</v>
      </c>
      <c r="L16" s="57">
        <v>1.547871</v>
      </c>
      <c r="M16" s="54">
        <v>242</v>
      </c>
      <c r="N16" s="55">
        <v>1.4981310000000001</v>
      </c>
      <c r="O16" s="56">
        <v>242</v>
      </c>
      <c r="P16" s="55">
        <v>1.498</v>
      </c>
      <c r="Q16" s="55">
        <v>240</v>
      </c>
      <c r="R16" s="57">
        <v>1.502</v>
      </c>
      <c r="S16" s="14"/>
      <c r="T16" s="14"/>
      <c r="U16" s="14"/>
      <c r="V16" s="8" cm="1">
        <f t="array" ref="V1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15)+1),6),"")</f>
        <v>3.2454999999999998E-2</v>
      </c>
      <c r="W16" s="9">
        <f t="shared" si="2"/>
        <v>532.09100859952457</v>
      </c>
      <c r="Y16" s="30">
        <v>3.41140000000002E-2</v>
      </c>
      <c r="Z16" s="15"/>
      <c r="AA16" s="16"/>
      <c r="AB16" s="23">
        <v>190597.78</v>
      </c>
    </row>
    <row r="17" spans="1:33" x14ac:dyDescent="0.25">
      <c r="A17" s="54">
        <v>241</v>
      </c>
      <c r="B17" s="55">
        <v>1.5189999999999999</v>
      </c>
      <c r="C17" s="55">
        <v>227</v>
      </c>
      <c r="D17" s="55">
        <v>1.5149999999999999</v>
      </c>
      <c r="E17" s="56">
        <v>228</v>
      </c>
      <c r="F17" s="57">
        <v>1.5189999999999999</v>
      </c>
      <c r="G17" s="54">
        <v>241</v>
      </c>
      <c r="H17" s="55">
        <v>1.546</v>
      </c>
      <c r="I17" s="55">
        <f t="shared" si="0"/>
        <v>234</v>
      </c>
      <c r="J17" s="55">
        <v>1.5460179999999999</v>
      </c>
      <c r="K17" s="55">
        <f t="shared" si="1"/>
        <v>240</v>
      </c>
      <c r="L17" s="57">
        <v>1.54592</v>
      </c>
      <c r="M17" s="54">
        <v>241</v>
      </c>
      <c r="N17" s="55">
        <v>1.4942580000000001</v>
      </c>
      <c r="O17" s="56">
        <v>241</v>
      </c>
      <c r="P17" s="55">
        <v>1.493994</v>
      </c>
      <c r="Q17" s="55">
        <v>239</v>
      </c>
      <c r="R17" s="57">
        <v>1.498102</v>
      </c>
      <c r="S17" s="14"/>
      <c r="T17" s="14"/>
      <c r="U17" s="14"/>
      <c r="V17" s="8" cm="1">
        <f t="array" ref="V1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16)+1),6),"")</f>
        <v>3.6353000000000003E-2</v>
      </c>
      <c r="W17" s="9">
        <f t="shared" si="2"/>
        <v>595.99767171833366</v>
      </c>
      <c r="Y17" s="30">
        <v>3.8022E-2</v>
      </c>
      <c r="Z17" s="15"/>
      <c r="AA17" s="16"/>
      <c r="AB17" s="23">
        <v>215725.23</v>
      </c>
    </row>
    <row r="18" spans="1:33" x14ac:dyDescent="0.25">
      <c r="A18" s="54">
        <v>240</v>
      </c>
      <c r="B18" s="55">
        <v>1.5169999999999999</v>
      </c>
      <c r="C18" s="55">
        <v>226</v>
      </c>
      <c r="D18" s="55">
        <v>1.5116430000000001</v>
      </c>
      <c r="E18" s="56">
        <v>228</v>
      </c>
      <c r="F18" s="57">
        <v>1.5164280000000001</v>
      </c>
      <c r="G18" s="54">
        <v>240</v>
      </c>
      <c r="H18" s="55">
        <v>1.544</v>
      </c>
      <c r="I18" s="55">
        <f t="shared" si="0"/>
        <v>233</v>
      </c>
      <c r="J18" s="55">
        <v>1.544</v>
      </c>
      <c r="K18" s="55">
        <f t="shared" si="1"/>
        <v>239</v>
      </c>
      <c r="L18" s="57">
        <v>1.540473</v>
      </c>
      <c r="M18" s="54">
        <v>240</v>
      </c>
      <c r="N18" s="55">
        <v>1.4919260000000001</v>
      </c>
      <c r="O18" s="56">
        <v>240</v>
      </c>
      <c r="P18" s="55">
        <v>1.490002</v>
      </c>
      <c r="Q18" s="55">
        <v>238</v>
      </c>
      <c r="R18" s="57">
        <v>1.494</v>
      </c>
      <c r="S18" s="14"/>
      <c r="T18" s="14"/>
      <c r="U18" s="14"/>
      <c r="V18" s="8" cm="1">
        <f t="array" ref="V1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17)+1),6),"")</f>
        <v>4.0454999999999998E-2</v>
      </c>
      <c r="W18" s="9">
        <f t="shared" si="2"/>
        <v>663.24886004910695</v>
      </c>
      <c r="Y18" s="30">
        <v>4.0010999999999998E-2</v>
      </c>
      <c r="Z18" s="15">
        <v>39.5</v>
      </c>
      <c r="AA18" s="16">
        <v>240852.68</v>
      </c>
      <c r="AB18" s="23">
        <v>240852.68000000002</v>
      </c>
    </row>
    <row r="19" spans="1:33" x14ac:dyDescent="0.25">
      <c r="A19" s="54">
        <v>239</v>
      </c>
      <c r="B19" s="55">
        <v>1.5149999999999999</v>
      </c>
      <c r="C19" s="55">
        <v>225</v>
      </c>
      <c r="D19" s="55">
        <v>1.5109729999999999</v>
      </c>
      <c r="E19" s="56">
        <v>226</v>
      </c>
      <c r="F19" s="57">
        <v>1.5145839999999999</v>
      </c>
      <c r="G19" s="54">
        <v>239</v>
      </c>
      <c r="H19" s="55">
        <v>1.54</v>
      </c>
      <c r="I19" s="55">
        <f t="shared" si="0"/>
        <v>232</v>
      </c>
      <c r="J19" s="55">
        <v>1.540537</v>
      </c>
      <c r="K19" s="55">
        <f t="shared" si="1"/>
        <v>238</v>
      </c>
      <c r="L19" s="57">
        <v>1.5391349999999999</v>
      </c>
      <c r="M19" s="54">
        <v>239</v>
      </c>
      <c r="N19" s="55">
        <v>1.489584</v>
      </c>
      <c r="O19" s="56">
        <v>239</v>
      </c>
      <c r="P19" s="55">
        <v>1.4880059999999999</v>
      </c>
      <c r="Q19" s="55">
        <v>237</v>
      </c>
      <c r="R19" s="57">
        <v>1.4903630000000001</v>
      </c>
      <c r="S19" s="14"/>
      <c r="T19" s="14"/>
      <c r="U19" s="14"/>
      <c r="V19" s="8" cm="1">
        <f t="array" ref="V1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18)+1),6),"")</f>
        <v>4.4091999999999999E-2</v>
      </c>
      <c r="W19" s="9">
        <f t="shared" si="2"/>
        <v>722.87649826437337</v>
      </c>
      <c r="Y19" s="30">
        <v>4.5292000000000103E-2</v>
      </c>
      <c r="Z19" s="15"/>
      <c r="AA19" s="16"/>
      <c r="AB19" s="23">
        <v>264850.0625</v>
      </c>
    </row>
    <row r="20" spans="1:33" x14ac:dyDescent="0.25">
      <c r="A20" s="54">
        <v>238</v>
      </c>
      <c r="B20" s="55">
        <v>1.5129999999999999</v>
      </c>
      <c r="C20" s="55">
        <v>224</v>
      </c>
      <c r="D20" s="55">
        <v>1.5070509999999999</v>
      </c>
      <c r="E20" s="56">
        <v>225</v>
      </c>
      <c r="F20" s="57">
        <v>1.5116130000000001</v>
      </c>
      <c r="G20" s="54">
        <v>238</v>
      </c>
      <c r="H20" s="55">
        <v>1.5379959999999999</v>
      </c>
      <c r="I20" s="55">
        <f t="shared" si="0"/>
        <v>231</v>
      </c>
      <c r="J20" s="55">
        <v>1.537998</v>
      </c>
      <c r="K20" s="55">
        <f t="shared" si="1"/>
        <v>237</v>
      </c>
      <c r="L20" s="57">
        <v>1.5362340000000001</v>
      </c>
      <c r="M20" s="54">
        <v>238</v>
      </c>
      <c r="N20" s="55">
        <v>1.4864040000000001</v>
      </c>
      <c r="O20" s="56">
        <v>238</v>
      </c>
      <c r="P20" s="55">
        <v>1.486</v>
      </c>
      <c r="Q20" s="55">
        <v>236</v>
      </c>
      <c r="R20" s="57">
        <v>1.4880119999999999</v>
      </c>
      <c r="S20" s="14"/>
      <c r="T20" s="14"/>
      <c r="U20" s="14"/>
      <c r="V20" s="8" cm="1">
        <f t="array" ref="V2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19)+1),6),"")</f>
        <v>4.6442999999999998E-2</v>
      </c>
      <c r="W20" s="9">
        <f t="shared" si="2"/>
        <v>761.42051185911942</v>
      </c>
      <c r="Y20" s="30">
        <v>4.7364000000000198E-2</v>
      </c>
      <c r="Z20" s="15"/>
      <c r="AA20" s="16"/>
      <c r="AB20" s="23">
        <v>288847.44500000001</v>
      </c>
    </row>
    <row r="21" spans="1:33" x14ac:dyDescent="0.25">
      <c r="A21" s="54">
        <v>237</v>
      </c>
      <c r="B21" s="55">
        <v>1.5106930000000001</v>
      </c>
      <c r="C21" s="55">
        <v>223</v>
      </c>
      <c r="D21" s="55">
        <v>1.506875</v>
      </c>
      <c r="E21" s="56">
        <v>223</v>
      </c>
      <c r="F21" s="57">
        <v>1.509018</v>
      </c>
      <c r="G21" s="54">
        <v>237</v>
      </c>
      <c r="H21" s="55">
        <v>1.5349729999999999</v>
      </c>
      <c r="I21" s="55">
        <f t="shared" si="0"/>
        <v>230</v>
      </c>
      <c r="J21" s="55">
        <v>1.5359940000000001</v>
      </c>
      <c r="K21" s="55">
        <f t="shared" si="1"/>
        <v>236</v>
      </c>
      <c r="L21" s="57">
        <v>1.534176</v>
      </c>
      <c r="M21" s="54">
        <v>237</v>
      </c>
      <c r="N21" s="55">
        <v>1.48552</v>
      </c>
      <c r="O21" s="56">
        <v>237</v>
      </c>
      <c r="P21" s="55">
        <v>1.484</v>
      </c>
      <c r="Q21" s="55">
        <v>235</v>
      </c>
      <c r="R21" s="57">
        <v>1.486998</v>
      </c>
      <c r="S21" s="14"/>
      <c r="T21" s="14"/>
      <c r="U21" s="14"/>
      <c r="V21" s="8" cm="1">
        <f t="array" ref="V2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20)+1),6),"")</f>
        <v>4.7456999999999999E-2</v>
      </c>
      <c r="W21" s="9">
        <f t="shared" si="2"/>
        <v>778.04476953035396</v>
      </c>
      <c r="Y21" s="30">
        <v>5.1489000000000097E-2</v>
      </c>
      <c r="Z21" s="15"/>
      <c r="AA21" s="16"/>
      <c r="AB21" s="23">
        <v>312844.82750000001</v>
      </c>
    </row>
    <row r="22" spans="1:33" x14ac:dyDescent="0.25">
      <c r="A22" s="54">
        <v>236</v>
      </c>
      <c r="B22" s="55">
        <v>1.5085390000000001</v>
      </c>
      <c r="C22" s="55">
        <v>222</v>
      </c>
      <c r="D22" s="55">
        <v>1.502445</v>
      </c>
      <c r="E22" s="56">
        <v>222</v>
      </c>
      <c r="F22" s="57">
        <v>1.5081720000000001</v>
      </c>
      <c r="G22" s="54">
        <v>236</v>
      </c>
      <c r="H22" s="55">
        <v>1.532473</v>
      </c>
      <c r="I22" s="55">
        <f t="shared" si="0"/>
        <v>229</v>
      </c>
      <c r="J22" s="55">
        <v>1.5339370000000001</v>
      </c>
      <c r="K22" s="55">
        <f t="shared" si="1"/>
        <v>235</v>
      </c>
      <c r="L22" s="57">
        <v>1.5320020000000001</v>
      </c>
      <c r="M22" s="54">
        <v>236</v>
      </c>
      <c r="N22" s="55">
        <v>1.483455</v>
      </c>
      <c r="O22" s="56">
        <v>236</v>
      </c>
      <c r="P22" s="55">
        <v>1.4819960000000001</v>
      </c>
      <c r="Q22" s="55">
        <v>234</v>
      </c>
      <c r="R22" s="57">
        <v>1.4843440000000001</v>
      </c>
      <c r="S22" s="14"/>
      <c r="T22" s="14"/>
      <c r="U22" s="14"/>
      <c r="V22" s="8" cm="1">
        <f t="array" ref="V2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21)+1),6),"")</f>
        <v>5.0111000000000003E-2</v>
      </c>
      <c r="W22" s="9">
        <f t="shared" si="2"/>
        <v>821.55638674875308</v>
      </c>
      <c r="Y22" s="30">
        <v>5.3502000000000202E-2</v>
      </c>
      <c r="Z22" s="15">
        <v>39</v>
      </c>
      <c r="AA22" s="16">
        <v>336842.21</v>
      </c>
      <c r="AB22" s="23">
        <v>336842.21</v>
      </c>
    </row>
    <row r="23" spans="1:33" x14ac:dyDescent="0.25">
      <c r="A23" s="54">
        <v>235</v>
      </c>
      <c r="B23" s="55">
        <v>1.506777</v>
      </c>
      <c r="C23" s="55">
        <v>221</v>
      </c>
      <c r="D23" s="55">
        <v>1.4989939999999999</v>
      </c>
      <c r="E23" s="56">
        <v>221</v>
      </c>
      <c r="F23" s="57">
        <v>1.50532</v>
      </c>
      <c r="G23" s="54">
        <v>235</v>
      </c>
      <c r="H23" s="55">
        <v>1.531309</v>
      </c>
      <c r="I23" s="55">
        <f t="shared" si="0"/>
        <v>228</v>
      </c>
      <c r="J23" s="55">
        <v>1.5319879999999999</v>
      </c>
      <c r="K23" s="55">
        <f t="shared" si="1"/>
        <v>234</v>
      </c>
      <c r="L23" s="57">
        <v>1.530016</v>
      </c>
      <c r="M23" s="54">
        <v>235</v>
      </c>
      <c r="N23" s="55">
        <v>1.478</v>
      </c>
      <c r="O23" s="56">
        <v>235</v>
      </c>
      <c r="P23" s="55">
        <v>1.477992</v>
      </c>
      <c r="Q23" s="55">
        <v>233</v>
      </c>
      <c r="R23" s="57">
        <v>1.482334</v>
      </c>
      <c r="S23" s="14"/>
      <c r="T23" s="14"/>
      <c r="U23" s="14"/>
      <c r="V23" s="8" cm="1">
        <f t="array" ref="V2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22)+1),6),"")</f>
        <v>5.2121000000000001E-2</v>
      </c>
      <c r="W23" s="9">
        <f t="shared" si="2"/>
        <v>854.50979692546059</v>
      </c>
      <c r="Y23" s="30">
        <v>5.6323000000000102E-2</v>
      </c>
      <c r="Z23" s="15"/>
      <c r="AA23" s="16"/>
      <c r="AB23" s="23">
        <v>349936.69375000003</v>
      </c>
    </row>
    <row r="24" spans="1:33" x14ac:dyDescent="0.25">
      <c r="A24" s="54">
        <v>234</v>
      </c>
      <c r="B24" s="55">
        <v>1.502996</v>
      </c>
      <c r="C24" s="55">
        <v>220</v>
      </c>
      <c r="D24" s="55">
        <v>1.4950000000000001</v>
      </c>
      <c r="E24" s="56">
        <v>220</v>
      </c>
      <c r="F24" s="57">
        <v>1.5027299999999999</v>
      </c>
      <c r="G24" s="54">
        <v>234</v>
      </c>
      <c r="H24" s="55">
        <v>1.529836</v>
      </c>
      <c r="I24" s="55">
        <f t="shared" si="0"/>
        <v>227</v>
      </c>
      <c r="J24" s="55">
        <v>1.5290699999999999</v>
      </c>
      <c r="K24" s="55">
        <f t="shared" si="1"/>
        <v>233</v>
      </c>
      <c r="L24" s="57">
        <v>1.5280020000000001</v>
      </c>
      <c r="M24" s="54">
        <v>234</v>
      </c>
      <c r="N24" s="55">
        <v>1.4759979999999999</v>
      </c>
      <c r="O24" s="56">
        <v>234</v>
      </c>
      <c r="P24" s="55">
        <v>1.475994</v>
      </c>
      <c r="Q24" s="55">
        <v>232</v>
      </c>
      <c r="R24" s="57">
        <v>1.4779979999999999</v>
      </c>
      <c r="S24" s="14"/>
      <c r="T24" s="14"/>
      <c r="U24" s="14"/>
      <c r="V24" s="8" cm="1">
        <f t="array" ref="V2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23)+1),6),"")</f>
        <v>5.6457E-2</v>
      </c>
      <c r="W24" s="9">
        <f t="shared" si="2"/>
        <v>925.59735241113424</v>
      </c>
      <c r="Y24" s="30">
        <v>5.8231000000000102E-2</v>
      </c>
      <c r="Z24" s="15"/>
      <c r="AA24" s="16"/>
      <c r="AB24" s="23">
        <v>363031.17750000005</v>
      </c>
    </row>
    <row r="25" spans="1:33" x14ac:dyDescent="0.25">
      <c r="A25" s="54">
        <v>233</v>
      </c>
      <c r="B25" s="55">
        <v>1.4989159999999999</v>
      </c>
      <c r="C25" s="55">
        <v>219</v>
      </c>
      <c r="D25" s="55">
        <v>1.493004</v>
      </c>
      <c r="E25" s="56">
        <v>219</v>
      </c>
      <c r="F25" s="57">
        <v>1.497574</v>
      </c>
      <c r="G25" s="54">
        <v>233</v>
      </c>
      <c r="H25" s="55">
        <v>1.5228710000000001</v>
      </c>
      <c r="I25" s="55">
        <f t="shared" si="0"/>
        <v>226</v>
      </c>
      <c r="J25" s="55">
        <v>1.5258890000000001</v>
      </c>
      <c r="K25" s="55">
        <f t="shared" si="1"/>
        <v>232</v>
      </c>
      <c r="L25" s="57">
        <v>1.5206740000000001</v>
      </c>
      <c r="M25" s="54">
        <v>233</v>
      </c>
      <c r="N25" s="55">
        <v>1.474</v>
      </c>
      <c r="O25" s="56">
        <v>233</v>
      </c>
      <c r="P25" s="55">
        <v>1.4739880000000001</v>
      </c>
      <c r="Q25" s="55">
        <v>231</v>
      </c>
      <c r="R25" s="57">
        <v>1.475975</v>
      </c>
      <c r="S25" s="14"/>
      <c r="T25" s="14"/>
      <c r="U25" s="14"/>
      <c r="V25" s="8" cm="1">
        <f t="array" ref="V2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24)+1),6),"")</f>
        <v>5.8479999999999997E-2</v>
      </c>
      <c r="W25" s="9">
        <f t="shared" si="2"/>
        <v>958.7638940964473</v>
      </c>
      <c r="Y25" s="30">
        <v>6.2186000000000102E-2</v>
      </c>
      <c r="Z25" s="15"/>
      <c r="AA25" s="16"/>
      <c r="AB25" s="23">
        <v>376125.66125000006</v>
      </c>
    </row>
    <row r="26" spans="1:33" x14ac:dyDescent="0.25">
      <c r="A26" s="54">
        <v>232</v>
      </c>
      <c r="B26" s="55">
        <v>1.4950000000000001</v>
      </c>
      <c r="C26" s="55">
        <v>218</v>
      </c>
      <c r="D26" s="55">
        <v>1.4910000000000001</v>
      </c>
      <c r="E26" s="56">
        <v>218</v>
      </c>
      <c r="F26" s="57">
        <v>1.4939979999999999</v>
      </c>
      <c r="G26" s="54">
        <v>232</v>
      </c>
      <c r="H26" s="55">
        <v>1.52</v>
      </c>
      <c r="I26" s="55">
        <f t="shared" si="0"/>
        <v>225</v>
      </c>
      <c r="J26" s="55">
        <v>1.519998</v>
      </c>
      <c r="K26" s="55">
        <f t="shared" si="1"/>
        <v>231</v>
      </c>
      <c r="L26" s="57">
        <v>1.518</v>
      </c>
      <c r="M26" s="54">
        <v>232</v>
      </c>
      <c r="N26" s="55">
        <v>1.47</v>
      </c>
      <c r="O26" s="56">
        <v>232</v>
      </c>
      <c r="P26" s="55">
        <v>1.469951</v>
      </c>
      <c r="Q26" s="55">
        <v>230</v>
      </c>
      <c r="R26" s="57">
        <v>1.473805</v>
      </c>
      <c r="S26" s="14"/>
      <c r="T26" s="14"/>
      <c r="U26" s="14"/>
      <c r="V26" s="8" cm="1">
        <f t="array" ref="V2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25)+1),6),"")</f>
        <v>6.0650000000000003E-2</v>
      </c>
      <c r="W26" s="9">
        <f t="shared" si="2"/>
        <v>994.34046130214665</v>
      </c>
      <c r="Y26" s="30">
        <v>6.4445000000000099E-2</v>
      </c>
      <c r="Z26" s="15"/>
      <c r="AA26" s="16"/>
      <c r="AB26" s="23">
        <v>389220.14500000008</v>
      </c>
    </row>
    <row r="27" spans="1:33" x14ac:dyDescent="0.25">
      <c r="A27" s="54">
        <v>231</v>
      </c>
      <c r="B27" s="55">
        <v>1.493412</v>
      </c>
      <c r="C27" s="55">
        <v>217</v>
      </c>
      <c r="D27" s="55">
        <v>1.4890019999999999</v>
      </c>
      <c r="E27" s="56">
        <v>218</v>
      </c>
      <c r="F27" s="57">
        <v>1.4910060000000001</v>
      </c>
      <c r="G27" s="54">
        <v>231</v>
      </c>
      <c r="H27" s="55">
        <v>1.516027</v>
      </c>
      <c r="I27" s="55">
        <f t="shared" si="0"/>
        <v>224</v>
      </c>
      <c r="J27" s="55">
        <v>1.518</v>
      </c>
      <c r="K27" s="55">
        <f t="shared" si="1"/>
        <v>230</v>
      </c>
      <c r="L27" s="57">
        <v>1.516</v>
      </c>
      <c r="M27" s="54">
        <v>231</v>
      </c>
      <c r="N27" s="55">
        <v>1.4679880000000001</v>
      </c>
      <c r="O27" s="56">
        <v>231</v>
      </c>
      <c r="P27" s="55">
        <v>1.466926</v>
      </c>
      <c r="Q27" s="55">
        <v>229</v>
      </c>
      <c r="R27" s="57">
        <v>1.469873</v>
      </c>
      <c r="S27" s="14"/>
      <c r="T27" s="14"/>
      <c r="U27" s="14"/>
      <c r="V27" s="8" cm="1">
        <f t="array" ref="V2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26)+1),6),"")</f>
        <v>6.4582000000000001E-2</v>
      </c>
      <c r="W27" s="9">
        <f t="shared" si="2"/>
        <v>1058.8045452896163</v>
      </c>
      <c r="Y27" s="30">
        <v>6.64850000000001E-2</v>
      </c>
      <c r="Z27" s="15"/>
      <c r="AA27" s="16"/>
      <c r="AB27" s="23">
        <v>402314.62875000009</v>
      </c>
    </row>
    <row r="28" spans="1:33" x14ac:dyDescent="0.25">
      <c r="A28" s="54">
        <v>230</v>
      </c>
      <c r="B28" s="55">
        <v>1.4914080000000001</v>
      </c>
      <c r="C28" s="55">
        <v>216</v>
      </c>
      <c r="D28" s="55">
        <v>1.48682</v>
      </c>
      <c r="E28" s="56">
        <v>217</v>
      </c>
      <c r="F28" s="57">
        <v>1.489074</v>
      </c>
      <c r="G28" s="54">
        <v>230</v>
      </c>
      <c r="H28" s="55">
        <v>1.515471</v>
      </c>
      <c r="I28" s="55">
        <f t="shared" si="0"/>
        <v>223</v>
      </c>
      <c r="J28" s="55">
        <v>1.5153540000000001</v>
      </c>
      <c r="K28" s="55">
        <f t="shared" si="1"/>
        <v>229</v>
      </c>
      <c r="L28" s="57">
        <v>1.5139899999999999</v>
      </c>
      <c r="M28" s="54">
        <v>230</v>
      </c>
      <c r="N28" s="55">
        <v>1.464</v>
      </c>
      <c r="O28" s="56">
        <v>230</v>
      </c>
      <c r="P28" s="55">
        <v>1.464</v>
      </c>
      <c r="Q28" s="55">
        <v>228</v>
      </c>
      <c r="R28" s="57">
        <v>1.467541</v>
      </c>
      <c r="S28" s="14"/>
      <c r="T28" s="14"/>
      <c r="U28" s="14"/>
      <c r="V28" s="8" cm="1">
        <f t="array" ref="V2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27)+1),6),"")</f>
        <v>6.6914000000000001E-2</v>
      </c>
      <c r="W28" s="9">
        <f t="shared" si="2"/>
        <v>1097.0370589871698</v>
      </c>
      <c r="Y28" s="30">
        <v>6.8457000000000198E-2</v>
      </c>
      <c r="Z28" s="15"/>
      <c r="AA28" s="16"/>
      <c r="AB28" s="23">
        <v>415409.1125000001</v>
      </c>
    </row>
    <row r="29" spans="1:33" x14ac:dyDescent="0.25">
      <c r="A29" s="54">
        <v>229</v>
      </c>
      <c r="B29" s="55">
        <v>1.4890000000000001</v>
      </c>
      <c r="C29" s="55">
        <v>215</v>
      </c>
      <c r="D29" s="55">
        <v>1.4828809999999999</v>
      </c>
      <c r="E29" s="56">
        <v>215</v>
      </c>
      <c r="F29" s="57">
        <v>1.4870000000000001</v>
      </c>
      <c r="G29" s="54">
        <v>229</v>
      </c>
      <c r="H29" s="55">
        <v>1.512</v>
      </c>
      <c r="I29" s="55">
        <f t="shared" si="0"/>
        <v>222</v>
      </c>
      <c r="J29" s="55">
        <v>1.5129649999999999</v>
      </c>
      <c r="K29" s="55">
        <f t="shared" si="1"/>
        <v>228</v>
      </c>
      <c r="L29" s="57">
        <v>1.5119899999999999</v>
      </c>
      <c r="M29" s="54">
        <v>229</v>
      </c>
      <c r="N29" s="55">
        <v>1.462</v>
      </c>
      <c r="O29" s="56">
        <v>229</v>
      </c>
      <c r="P29" s="55">
        <v>1.461967</v>
      </c>
      <c r="Q29" s="55">
        <v>227</v>
      </c>
      <c r="R29" s="57">
        <v>1.464008</v>
      </c>
      <c r="S29" s="14"/>
      <c r="T29" s="14"/>
      <c r="U29" s="14"/>
      <c r="V29" s="8" cm="1">
        <f t="array" ref="V2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28)+1),6),"")</f>
        <v>7.0446999999999996E-2</v>
      </c>
      <c r="W29" s="9">
        <f t="shared" si="2"/>
        <v>1154.9596451335915</v>
      </c>
      <c r="Y29" s="30">
        <v>7.2641000000000205E-2</v>
      </c>
      <c r="Z29" s="15"/>
      <c r="AA29" s="16"/>
      <c r="AB29" s="23">
        <v>428503.59625000012</v>
      </c>
    </row>
    <row r="30" spans="1:33" x14ac:dyDescent="0.25">
      <c r="A30" s="54">
        <v>228</v>
      </c>
      <c r="B30" s="55">
        <v>1.4870509999999999</v>
      </c>
      <c r="C30" s="55">
        <v>214</v>
      </c>
      <c r="D30" s="55">
        <v>1.4792970000000001</v>
      </c>
      <c r="E30" s="56">
        <v>215</v>
      </c>
      <c r="F30" s="57">
        <v>1.4827870000000001</v>
      </c>
      <c r="G30" s="54">
        <v>228</v>
      </c>
      <c r="H30" s="55">
        <v>1.509998</v>
      </c>
      <c r="I30" s="55">
        <f t="shared" si="0"/>
        <v>221</v>
      </c>
      <c r="J30" s="55">
        <v>1.5101</v>
      </c>
      <c r="K30" s="55">
        <f t="shared" si="1"/>
        <v>227</v>
      </c>
      <c r="L30" s="57">
        <v>1.5097149999999999</v>
      </c>
      <c r="M30" s="54">
        <v>228</v>
      </c>
      <c r="N30" s="55">
        <v>1.4581170000000001</v>
      </c>
      <c r="O30" s="56">
        <v>228</v>
      </c>
      <c r="P30" s="55">
        <v>1.458</v>
      </c>
      <c r="Q30" s="55">
        <v>226</v>
      </c>
      <c r="R30" s="57">
        <v>1.462</v>
      </c>
      <c r="S30" s="14"/>
      <c r="T30" s="14"/>
      <c r="U30" s="14"/>
      <c r="V30" s="8" cm="1">
        <f t="array" ref="V3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29)+1),6),"")</f>
        <v>7.2455000000000006E-2</v>
      </c>
      <c r="W30" s="9">
        <f t="shared" si="2"/>
        <v>1187.8802658474367</v>
      </c>
      <c r="Y30" s="30">
        <v>7.4793000000000096E-2</v>
      </c>
      <c r="Z30" s="15">
        <v>38.5</v>
      </c>
      <c r="AA30" s="16">
        <v>441598.08</v>
      </c>
      <c r="AB30" s="23">
        <v>441598.08000000013</v>
      </c>
    </row>
    <row r="31" spans="1:33" x14ac:dyDescent="0.25">
      <c r="A31" s="54">
        <v>227</v>
      </c>
      <c r="B31" s="55">
        <v>1.4830490000000001</v>
      </c>
      <c r="C31" s="55">
        <v>213</v>
      </c>
      <c r="D31" s="55">
        <v>1.4788829999999999</v>
      </c>
      <c r="E31" s="56">
        <v>213</v>
      </c>
      <c r="F31" s="57">
        <v>1.4797400000000001</v>
      </c>
      <c r="G31" s="54">
        <v>227</v>
      </c>
      <c r="H31" s="55">
        <v>1.5079959999999999</v>
      </c>
      <c r="I31" s="55">
        <f t="shared" si="0"/>
        <v>220</v>
      </c>
      <c r="J31" s="55">
        <v>1.5080199999999999</v>
      </c>
      <c r="K31" s="55">
        <f t="shared" si="1"/>
        <v>226</v>
      </c>
      <c r="L31" s="57">
        <v>1.5079750000000001</v>
      </c>
      <c r="M31" s="54">
        <v>227</v>
      </c>
      <c r="N31" s="55">
        <v>1.456</v>
      </c>
      <c r="O31" s="56">
        <v>227</v>
      </c>
      <c r="P31" s="55">
        <v>1.456</v>
      </c>
      <c r="Q31" s="55">
        <v>225</v>
      </c>
      <c r="R31" s="57">
        <v>1.4582109999999999</v>
      </c>
      <c r="S31" s="14"/>
      <c r="T31" s="14"/>
      <c r="U31" s="14"/>
      <c r="V31" s="8" cm="1">
        <f t="array" ref="V3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30)+1),6),"")</f>
        <v>7.6244000000000006E-2</v>
      </c>
      <c r="W31" s="9">
        <f t="shared" si="2"/>
        <v>1249.9999032402452</v>
      </c>
      <c r="Y31" s="30">
        <v>7.7687000000000103E-2</v>
      </c>
      <c r="Z31" s="15"/>
      <c r="AA31" s="16"/>
      <c r="AB31" s="23">
        <v>456049.47875000013</v>
      </c>
      <c r="AG31" cm="1">
        <f t="array" ref="AG3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3)+1),6),"")</f>
        <v>1.867E-3</v>
      </c>
    </row>
    <row r="32" spans="1:33" x14ac:dyDescent="0.25">
      <c r="A32" s="54">
        <v>226</v>
      </c>
      <c r="B32" s="55">
        <v>1.4810019999999999</v>
      </c>
      <c r="C32" s="55">
        <v>212</v>
      </c>
      <c r="D32" s="55">
        <v>1.4731110000000001</v>
      </c>
      <c r="E32" s="56">
        <v>213</v>
      </c>
      <c r="F32" s="57">
        <v>1.4782459999999999</v>
      </c>
      <c r="G32" s="54">
        <v>226</v>
      </c>
      <c r="H32" s="55">
        <v>1.5059800000000001</v>
      </c>
      <c r="I32" s="55">
        <f t="shared" si="0"/>
        <v>219</v>
      </c>
      <c r="J32" s="55">
        <v>1.5041230000000001</v>
      </c>
      <c r="K32" s="55">
        <f t="shared" si="1"/>
        <v>225</v>
      </c>
      <c r="L32" s="57">
        <v>1.5039880000000001</v>
      </c>
      <c r="M32" s="54">
        <v>226</v>
      </c>
      <c r="N32" s="55">
        <v>1.454</v>
      </c>
      <c r="O32" s="56">
        <v>226</v>
      </c>
      <c r="P32" s="55">
        <v>1.454</v>
      </c>
      <c r="Q32" s="55">
        <v>224</v>
      </c>
      <c r="R32" s="57">
        <v>1.456</v>
      </c>
      <c r="S32" s="14"/>
      <c r="T32" s="14"/>
      <c r="U32" s="14"/>
      <c r="V32" s="8" cm="1">
        <f t="array" ref="V3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31)+1),6),"")</f>
        <v>7.8454999999999997E-2</v>
      </c>
      <c r="W32" s="9">
        <f t="shared" si="2"/>
        <v>1286.2486544346234</v>
      </c>
      <c r="Y32" s="30">
        <v>7.9514000000000098E-2</v>
      </c>
      <c r="Z32" s="15"/>
      <c r="AA32" s="16"/>
      <c r="AB32" s="23">
        <v>470500.87750000012</v>
      </c>
      <c r="AG32" cm="1">
        <f t="array" ref="AG3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4)+1),6),"")</f>
        <v>2.5309999999999998E-3</v>
      </c>
    </row>
    <row r="33" spans="1:33" x14ac:dyDescent="0.25">
      <c r="A33" s="54">
        <v>225</v>
      </c>
      <c r="B33" s="55">
        <v>1.478996</v>
      </c>
      <c r="C33" s="55">
        <v>211</v>
      </c>
      <c r="D33" s="55">
        <v>1.471943</v>
      </c>
      <c r="E33" s="56">
        <v>211</v>
      </c>
      <c r="F33" s="57">
        <v>1.473422</v>
      </c>
      <c r="G33" s="54">
        <v>225</v>
      </c>
      <c r="H33" s="55">
        <v>1.5000199999999999</v>
      </c>
      <c r="I33" s="55">
        <f t="shared" si="0"/>
        <v>218</v>
      </c>
      <c r="J33" s="55">
        <v>1.500586</v>
      </c>
      <c r="K33" s="55">
        <f t="shared" si="1"/>
        <v>224</v>
      </c>
      <c r="L33" s="57">
        <v>1.4999899999999999</v>
      </c>
      <c r="M33" s="54">
        <v>225</v>
      </c>
      <c r="N33" s="55">
        <v>1.4519880000000001</v>
      </c>
      <c r="O33" s="56">
        <v>225</v>
      </c>
      <c r="P33" s="55">
        <v>1.4518930000000001</v>
      </c>
      <c r="Q33" s="55">
        <v>223</v>
      </c>
      <c r="R33" s="57">
        <v>1.4500059999999999</v>
      </c>
      <c r="S33" s="14"/>
      <c r="T33" s="14"/>
      <c r="U33" s="14"/>
      <c r="V33" s="8" cm="1">
        <f t="array" ref="V3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32)+1),6),"")</f>
        <v>8.4448999999999996E-2</v>
      </c>
      <c r="W33" s="9">
        <f t="shared" si="2"/>
        <v>1384.5186746332231</v>
      </c>
      <c r="Y33" s="30">
        <v>8.3749000000000101E-2</v>
      </c>
      <c r="Z33" s="15"/>
      <c r="AA33" s="16"/>
      <c r="AB33" s="23">
        <v>484952.27625000011</v>
      </c>
      <c r="AG33" cm="1">
        <f t="array" ref="AG3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5)+1),6),"")</f>
        <v>5.5779999999999996E-3</v>
      </c>
    </row>
    <row r="34" spans="1:33" x14ac:dyDescent="0.25">
      <c r="A34" s="54">
        <v>224</v>
      </c>
      <c r="B34" s="55">
        <v>1.4750000000000001</v>
      </c>
      <c r="C34" s="55">
        <v>210</v>
      </c>
      <c r="D34" s="55">
        <v>1.467652</v>
      </c>
      <c r="E34" s="56">
        <v>211</v>
      </c>
      <c r="F34" s="57">
        <v>1.4692829999999999</v>
      </c>
      <c r="G34" s="54">
        <v>224</v>
      </c>
      <c r="H34" s="55">
        <v>1.4981230000000001</v>
      </c>
      <c r="I34" s="55">
        <f t="shared" si="0"/>
        <v>217</v>
      </c>
      <c r="J34" s="55">
        <v>1.4975700000000001</v>
      </c>
      <c r="K34" s="55">
        <f t="shared" si="1"/>
        <v>223</v>
      </c>
      <c r="L34" s="57">
        <v>1.4990760000000001</v>
      </c>
      <c r="M34" s="54">
        <v>224</v>
      </c>
      <c r="N34" s="55">
        <v>1.4499880000000001</v>
      </c>
      <c r="O34" s="56">
        <v>224</v>
      </c>
      <c r="P34" s="55">
        <v>1.449859</v>
      </c>
      <c r="Q34" s="55">
        <v>222</v>
      </c>
      <c r="R34" s="57">
        <v>1.446</v>
      </c>
      <c r="S34" s="14"/>
      <c r="T34" s="14"/>
      <c r="U34" s="14"/>
      <c r="V34" s="8" cm="1">
        <f t="array" ref="V3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33)+1),6),"")</f>
        <v>8.8455000000000006E-2</v>
      </c>
      <c r="W34" s="9">
        <f t="shared" si="2"/>
        <v>1450.1959687466015</v>
      </c>
      <c r="Y34" s="30">
        <v>8.6007000000000194E-2</v>
      </c>
      <c r="Z34" s="15"/>
      <c r="AA34" s="16"/>
      <c r="AB34" s="23">
        <v>499403.6750000001</v>
      </c>
      <c r="AG34" cm="1">
        <f t="array" ref="AG3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6)+1),6),"")</f>
        <v>8.3999999999999995E-3</v>
      </c>
    </row>
    <row r="35" spans="1:33" x14ac:dyDescent="0.25">
      <c r="A35" s="54">
        <v>223</v>
      </c>
      <c r="B35" s="55">
        <v>1.468979</v>
      </c>
      <c r="C35" s="55">
        <v>209</v>
      </c>
      <c r="D35" s="55">
        <v>1.4669920000000001</v>
      </c>
      <c r="E35" s="56">
        <v>210</v>
      </c>
      <c r="F35" s="57">
        <v>1.4670000000000001</v>
      </c>
      <c r="G35" s="54">
        <v>223</v>
      </c>
      <c r="H35" s="55">
        <v>1.496</v>
      </c>
      <c r="I35" s="55">
        <f t="shared" si="0"/>
        <v>216</v>
      </c>
      <c r="J35" s="55">
        <v>1.495965</v>
      </c>
      <c r="K35" s="55">
        <f t="shared" si="1"/>
        <v>222</v>
      </c>
      <c r="L35" s="57">
        <v>1.496</v>
      </c>
      <c r="M35" s="54">
        <v>223</v>
      </c>
      <c r="N35" s="55">
        <v>1.444529</v>
      </c>
      <c r="O35" s="56">
        <v>223</v>
      </c>
      <c r="P35" s="55">
        <v>1.4440040000000001</v>
      </c>
      <c r="Q35" s="55">
        <v>221</v>
      </c>
      <c r="R35" s="57">
        <v>1.4439960000000001</v>
      </c>
      <c r="S35" s="14"/>
      <c r="T35" s="14"/>
      <c r="U35" s="14"/>
      <c r="V35" s="8" cm="1">
        <f t="array" ref="V3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34)+1),6),"")</f>
        <v>9.0458999999999998E-2</v>
      </c>
      <c r="W35" s="9">
        <f t="shared" si="2"/>
        <v>1483.0510105347219</v>
      </c>
      <c r="Y35" s="30">
        <v>8.8957000000000203E-2</v>
      </c>
      <c r="Z35" s="15"/>
      <c r="AA35" s="16"/>
      <c r="AB35" s="23">
        <v>513855.0737500001</v>
      </c>
    </row>
    <row r="36" spans="1:33" x14ac:dyDescent="0.25">
      <c r="A36" s="54">
        <v>222</v>
      </c>
      <c r="B36" s="55">
        <v>1.466998</v>
      </c>
      <c r="C36" s="55">
        <v>208</v>
      </c>
      <c r="D36" s="55">
        <v>1.46299</v>
      </c>
      <c r="E36" s="56">
        <v>209</v>
      </c>
      <c r="F36" s="57">
        <v>1.463727</v>
      </c>
      <c r="G36" s="54">
        <v>222</v>
      </c>
      <c r="H36" s="55">
        <v>1.4939770000000001</v>
      </c>
      <c r="I36" s="55">
        <f t="shared" si="0"/>
        <v>215</v>
      </c>
      <c r="J36" s="55">
        <v>1.492</v>
      </c>
      <c r="K36" s="55">
        <f t="shared" si="1"/>
        <v>221</v>
      </c>
      <c r="L36" s="57">
        <v>1.4938009999999999</v>
      </c>
      <c r="M36" s="54">
        <v>222</v>
      </c>
      <c r="N36" s="55">
        <v>1.440863</v>
      </c>
      <c r="O36" s="56">
        <v>222</v>
      </c>
      <c r="P36" s="55">
        <v>1.439246</v>
      </c>
      <c r="Q36" s="55">
        <v>220</v>
      </c>
      <c r="R36" s="57">
        <v>1.4380120000000001</v>
      </c>
      <c r="S36" s="14"/>
      <c r="T36" s="14"/>
      <c r="U36" s="14"/>
      <c r="V36" s="8" cm="1">
        <f t="array" ref="V3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35)+1),6),"")</f>
        <v>9.6443000000000001E-2</v>
      </c>
      <c r="W36" s="9">
        <f t="shared" si="2"/>
        <v>1581.1570834190095</v>
      </c>
      <c r="Y36" s="30">
        <v>9.0826000000000101E-2</v>
      </c>
      <c r="Z36" s="15"/>
      <c r="AA36" s="16"/>
      <c r="AB36" s="23">
        <v>528306.47250000015</v>
      </c>
    </row>
    <row r="37" spans="1:33" x14ac:dyDescent="0.25">
      <c r="A37" s="54">
        <v>221</v>
      </c>
      <c r="B37" s="55">
        <v>1.4630000000000001</v>
      </c>
      <c r="C37" s="55">
        <v>207</v>
      </c>
      <c r="D37" s="55">
        <v>1.4573689999999999</v>
      </c>
      <c r="E37" s="56">
        <v>208</v>
      </c>
      <c r="F37" s="57">
        <v>1.4613849999999999</v>
      </c>
      <c r="G37" s="54">
        <v>221</v>
      </c>
      <c r="H37" s="55">
        <v>1.491055</v>
      </c>
      <c r="I37" s="55">
        <f t="shared" si="0"/>
        <v>214</v>
      </c>
      <c r="J37" s="55">
        <v>1.49</v>
      </c>
      <c r="K37" s="55">
        <f t="shared" si="1"/>
        <v>220</v>
      </c>
      <c r="L37" s="57">
        <v>1.4919469999999999</v>
      </c>
      <c r="M37" s="54">
        <v>221</v>
      </c>
      <c r="N37" s="55">
        <v>1.4379649999999999</v>
      </c>
      <c r="O37" s="56">
        <v>221</v>
      </c>
      <c r="P37" s="55">
        <v>1.4360550000000001</v>
      </c>
      <c r="Q37" s="55">
        <v>219</v>
      </c>
      <c r="R37" s="57">
        <v>1.4375370000000001</v>
      </c>
      <c r="S37" s="14"/>
      <c r="T37" s="14"/>
      <c r="U37" s="14"/>
      <c r="V37" s="8" cm="1">
        <f t="array" ref="V3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36)+1),6),"")</f>
        <v>9.6918000000000004E-2</v>
      </c>
      <c r="W37" s="9">
        <f t="shared" si="2"/>
        <v>1588.9445808488285</v>
      </c>
      <c r="Y37" s="30">
        <v>9.4867000000000007E-2</v>
      </c>
      <c r="Z37" s="15"/>
      <c r="AA37" s="16"/>
      <c r="AB37" s="23">
        <v>542757.8712500002</v>
      </c>
    </row>
    <row r="38" spans="1:33" x14ac:dyDescent="0.25">
      <c r="A38" s="54">
        <v>220</v>
      </c>
      <c r="B38" s="55">
        <v>1.4610000000000001</v>
      </c>
      <c r="C38" s="55">
        <v>206</v>
      </c>
      <c r="D38" s="55">
        <v>1.4549529999999999</v>
      </c>
      <c r="E38" s="56">
        <v>207</v>
      </c>
      <c r="F38" s="57">
        <v>1.4629730000000001</v>
      </c>
      <c r="G38" s="54">
        <v>220</v>
      </c>
      <c r="H38" s="55">
        <v>1.4895529999999999</v>
      </c>
      <c r="I38" s="55">
        <f t="shared" si="0"/>
        <v>213</v>
      </c>
      <c r="J38" s="55">
        <v>1.488</v>
      </c>
      <c r="K38" s="55">
        <f t="shared" si="1"/>
        <v>219</v>
      </c>
      <c r="L38" s="57">
        <v>1.4899279999999999</v>
      </c>
      <c r="M38" s="54">
        <v>220</v>
      </c>
      <c r="N38" s="55">
        <v>1.435846</v>
      </c>
      <c r="O38" s="56">
        <v>220</v>
      </c>
      <c r="P38" s="55">
        <v>1.434037</v>
      </c>
      <c r="Q38" s="55">
        <v>218</v>
      </c>
      <c r="R38" s="57">
        <v>1.4344589999999999</v>
      </c>
      <c r="S38" s="14"/>
      <c r="T38" s="14"/>
      <c r="U38" s="14"/>
      <c r="V38" s="8" cm="1">
        <f t="array" ref="V3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37)+1),6),"")</f>
        <v>9.9996000000000002E-2</v>
      </c>
      <c r="W38" s="9">
        <f t="shared" si="2"/>
        <v>1639.4075641940553</v>
      </c>
      <c r="Y38" s="30">
        <v>9.7252000000000102E-2</v>
      </c>
      <c r="Z38" s="15">
        <v>38</v>
      </c>
      <c r="AA38" s="16">
        <v>557209.27</v>
      </c>
      <c r="AB38" s="23">
        <v>557209.27000000025</v>
      </c>
    </row>
    <row r="39" spans="1:33" x14ac:dyDescent="0.25">
      <c r="A39" s="54">
        <v>219</v>
      </c>
      <c r="B39" s="55">
        <v>1.4590000000000001</v>
      </c>
      <c r="C39" s="55">
        <v>205</v>
      </c>
      <c r="D39" s="55">
        <v>1.4510160000000001</v>
      </c>
      <c r="E39" s="56">
        <v>206</v>
      </c>
      <c r="F39" s="57">
        <v>1.460305</v>
      </c>
      <c r="G39" s="54">
        <v>219</v>
      </c>
      <c r="H39" s="55">
        <v>1.4853609999999999</v>
      </c>
      <c r="I39" s="55">
        <f t="shared" si="0"/>
        <v>212</v>
      </c>
      <c r="J39" s="55">
        <v>1.4839819999999999</v>
      </c>
      <c r="K39" s="55">
        <f t="shared" si="1"/>
        <v>218</v>
      </c>
      <c r="L39" s="57">
        <v>1.486783</v>
      </c>
      <c r="M39" s="54">
        <v>219</v>
      </c>
      <c r="N39" s="55">
        <v>1.4321759999999999</v>
      </c>
      <c r="O39" s="56">
        <v>219</v>
      </c>
      <c r="P39" s="55">
        <v>1.432707</v>
      </c>
      <c r="Q39" s="55">
        <v>217</v>
      </c>
      <c r="R39" s="57">
        <v>1.433424</v>
      </c>
      <c r="S39" s="14"/>
      <c r="T39" s="14"/>
      <c r="U39" s="14"/>
      <c r="V39" s="8" cm="1">
        <f t="array" ref="V3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38)+1),6),"")</f>
        <v>0.101031</v>
      </c>
      <c r="W39" s="9">
        <f t="shared" si="2"/>
        <v>1656.3761112253449</v>
      </c>
      <c r="Y39" s="30">
        <v>9.9988000000000202E-2</v>
      </c>
      <c r="Z39" s="15"/>
      <c r="AA39" s="16"/>
      <c r="AB39" s="23">
        <v>572059.18625000026</v>
      </c>
    </row>
    <row r="40" spans="1:33" x14ac:dyDescent="0.25">
      <c r="A40" s="54">
        <v>218</v>
      </c>
      <c r="B40" s="55">
        <v>1.4569220000000001</v>
      </c>
      <c r="C40" s="55">
        <v>204</v>
      </c>
      <c r="D40" s="55">
        <v>1.4489749999999999</v>
      </c>
      <c r="E40" s="56">
        <v>205</v>
      </c>
      <c r="F40" s="57">
        <v>1.4579839999999999</v>
      </c>
      <c r="G40" s="54">
        <v>218</v>
      </c>
      <c r="H40" s="55">
        <v>1.482461</v>
      </c>
      <c r="I40" s="55">
        <f t="shared" si="0"/>
        <v>211</v>
      </c>
      <c r="J40" s="55">
        <v>1.4809650000000001</v>
      </c>
      <c r="K40" s="55">
        <f t="shared" si="1"/>
        <v>217</v>
      </c>
      <c r="L40" s="57">
        <v>1.4820800000000001</v>
      </c>
      <c r="M40" s="54">
        <v>218</v>
      </c>
      <c r="N40" s="55">
        <v>1.430002</v>
      </c>
      <c r="O40" s="56">
        <v>218</v>
      </c>
      <c r="P40" s="55">
        <v>1.4303729999999999</v>
      </c>
      <c r="Q40" s="55">
        <v>216</v>
      </c>
      <c r="R40" s="57">
        <v>1.430064</v>
      </c>
      <c r="S40" s="14"/>
      <c r="T40" s="14"/>
      <c r="U40" s="14"/>
      <c r="V40" s="8" cm="1">
        <f t="array" ref="V4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39)+1),6),"")</f>
        <v>0.104391</v>
      </c>
      <c r="W40" s="9">
        <f t="shared" si="2"/>
        <v>1711.4624088341695</v>
      </c>
      <c r="Y40" s="30">
        <v>0.10204000000000001</v>
      </c>
      <c r="Z40" s="15"/>
      <c r="AA40" s="16"/>
      <c r="AB40" s="23">
        <v>586909.10250000027</v>
      </c>
    </row>
    <row r="41" spans="1:33" x14ac:dyDescent="0.25">
      <c r="A41" s="54">
        <v>217</v>
      </c>
      <c r="B41" s="55">
        <v>1.454199</v>
      </c>
      <c r="C41" s="55">
        <v>203</v>
      </c>
      <c r="D41" s="55">
        <v>1.443014</v>
      </c>
      <c r="E41" s="56">
        <v>204</v>
      </c>
      <c r="F41" s="57">
        <v>1.4550000000000001</v>
      </c>
      <c r="G41" s="54">
        <v>217</v>
      </c>
      <c r="H41" s="55">
        <v>1.480002</v>
      </c>
      <c r="I41" s="55">
        <f t="shared" si="0"/>
        <v>210</v>
      </c>
      <c r="J41" s="55">
        <v>1.479387</v>
      </c>
      <c r="K41" s="55">
        <f t="shared" si="1"/>
        <v>216</v>
      </c>
      <c r="L41" s="57">
        <v>1.4801230000000001</v>
      </c>
      <c r="M41" s="54">
        <v>217</v>
      </c>
      <c r="N41" s="55">
        <v>1.4280660000000001</v>
      </c>
      <c r="O41" s="56">
        <v>217</v>
      </c>
      <c r="P41" s="55">
        <v>1.4281459999999999</v>
      </c>
      <c r="Q41" s="55">
        <v>215</v>
      </c>
      <c r="R41" s="57">
        <v>1.4279999999999999</v>
      </c>
      <c r="S41" s="14"/>
      <c r="T41" s="14"/>
      <c r="U41" s="14"/>
      <c r="V41" s="8" cm="1">
        <f t="array" ref="V4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40)+1),6),"")</f>
        <v>0.10645499999999999</v>
      </c>
      <c r="W41" s="9">
        <f t="shared" si="2"/>
        <v>1745.3011345081618</v>
      </c>
      <c r="Y41" s="30">
        <v>0.106082</v>
      </c>
      <c r="Z41" s="15"/>
      <c r="AA41" s="16"/>
      <c r="AB41" s="23">
        <v>601759.01875000028</v>
      </c>
    </row>
    <row r="42" spans="1:33" x14ac:dyDescent="0.25">
      <c r="A42" s="54">
        <v>216</v>
      </c>
      <c r="B42" s="55">
        <v>1.450871</v>
      </c>
      <c r="C42" s="55">
        <v>202</v>
      </c>
      <c r="D42" s="55">
        <v>1.4410000000000001</v>
      </c>
      <c r="E42" s="56">
        <v>203</v>
      </c>
      <c r="F42" s="57">
        <v>1.4509430000000001</v>
      </c>
      <c r="G42" s="54">
        <v>216</v>
      </c>
      <c r="H42" s="55">
        <v>1.476207</v>
      </c>
      <c r="I42" s="55">
        <f t="shared" si="0"/>
        <v>209</v>
      </c>
      <c r="J42" s="55">
        <v>1.47458</v>
      </c>
      <c r="K42" s="55">
        <f t="shared" si="1"/>
        <v>215</v>
      </c>
      <c r="L42" s="57">
        <v>1.4759549999999999</v>
      </c>
      <c r="M42" s="54">
        <v>216</v>
      </c>
      <c r="N42" s="55">
        <v>1.426002</v>
      </c>
      <c r="O42" s="56">
        <v>216</v>
      </c>
      <c r="P42" s="55">
        <v>1.426023</v>
      </c>
      <c r="Q42" s="55">
        <v>214</v>
      </c>
      <c r="R42" s="57">
        <v>1.42591</v>
      </c>
      <c r="S42" s="14"/>
      <c r="T42" s="14"/>
      <c r="U42" s="14"/>
      <c r="V42" s="8" cm="1">
        <f t="array" ref="V4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41)+1),6),"")</f>
        <v>0.108545</v>
      </c>
      <c r="W42" s="9">
        <f t="shared" si="2"/>
        <v>1779.5661231993654</v>
      </c>
      <c r="Y42" s="30">
        <v>0.108241</v>
      </c>
      <c r="Z42" s="15"/>
      <c r="AA42" s="16"/>
      <c r="AB42" s="23">
        <v>616608.93500000029</v>
      </c>
    </row>
    <row r="43" spans="1:33" x14ac:dyDescent="0.25">
      <c r="A43" s="54">
        <v>215</v>
      </c>
      <c r="B43" s="55">
        <v>1.448977</v>
      </c>
      <c r="C43" s="55">
        <v>201</v>
      </c>
      <c r="D43" s="55">
        <v>1.4390019999999999</v>
      </c>
      <c r="E43" s="56">
        <v>202</v>
      </c>
      <c r="F43" s="57">
        <v>1.4484319999999999</v>
      </c>
      <c r="G43" s="54">
        <v>215</v>
      </c>
      <c r="H43" s="55">
        <v>1.4739</v>
      </c>
      <c r="I43" s="55">
        <f t="shared" si="0"/>
        <v>208</v>
      </c>
      <c r="J43" s="55">
        <v>1.473592</v>
      </c>
      <c r="K43" s="55">
        <f t="shared" si="1"/>
        <v>214</v>
      </c>
      <c r="L43" s="57">
        <v>1.473959</v>
      </c>
      <c r="M43" s="54">
        <v>215</v>
      </c>
      <c r="N43" s="55">
        <v>1.4200060000000001</v>
      </c>
      <c r="O43" s="56">
        <v>215</v>
      </c>
      <c r="P43" s="55">
        <v>1.42</v>
      </c>
      <c r="Q43" s="55">
        <v>213</v>
      </c>
      <c r="R43" s="57">
        <v>1.42</v>
      </c>
      <c r="S43" s="14"/>
      <c r="T43" s="14"/>
      <c r="U43" s="14"/>
      <c r="V43" s="8" cm="1">
        <f t="array" ref="V4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42)+1),6),"")</f>
        <v>0.114455</v>
      </c>
      <c r="W43" s="9">
        <f t="shared" si="2"/>
        <v>1876.4589859577443</v>
      </c>
      <c r="Y43" s="30">
        <v>0.11014699999999999</v>
      </c>
      <c r="Z43" s="15"/>
      <c r="AA43" s="16"/>
      <c r="AB43" s="23">
        <v>631458.8512500003</v>
      </c>
    </row>
    <row r="44" spans="1:33" x14ac:dyDescent="0.25">
      <c r="A44" s="54">
        <v>214</v>
      </c>
      <c r="B44" s="55">
        <v>1.4430080000000001</v>
      </c>
      <c r="C44" s="55">
        <v>200</v>
      </c>
      <c r="D44" s="55">
        <v>1.4370000000000001</v>
      </c>
      <c r="E44" s="56">
        <v>202</v>
      </c>
      <c r="F44" s="57">
        <v>1.4430000000000001</v>
      </c>
      <c r="G44" s="54">
        <v>214</v>
      </c>
      <c r="H44" s="55">
        <v>1.47</v>
      </c>
      <c r="I44" s="55">
        <f t="shared" si="0"/>
        <v>207</v>
      </c>
      <c r="J44" s="55">
        <v>1.470002</v>
      </c>
      <c r="K44" s="55">
        <f t="shared" si="1"/>
        <v>213</v>
      </c>
      <c r="L44" s="57">
        <v>1.47</v>
      </c>
      <c r="M44" s="54">
        <v>214</v>
      </c>
      <c r="N44" s="55">
        <v>1.418002</v>
      </c>
      <c r="O44" s="56">
        <v>214</v>
      </c>
      <c r="P44" s="55">
        <v>1.4179999999999999</v>
      </c>
      <c r="Q44" s="55">
        <v>212</v>
      </c>
      <c r="R44" s="57">
        <v>1.4179919999999999</v>
      </c>
      <c r="S44" s="14"/>
      <c r="T44" s="14"/>
      <c r="U44" s="14"/>
      <c r="V44" s="8" cm="1">
        <f t="array" ref="V4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43)+1),6),"")</f>
        <v>0.116463</v>
      </c>
      <c r="W44" s="9">
        <f t="shared" si="2"/>
        <v>1909.3796066715895</v>
      </c>
      <c r="Y44" s="30">
        <v>0.112397</v>
      </c>
      <c r="Z44" s="15"/>
      <c r="AA44" s="16"/>
      <c r="AB44" s="23">
        <v>646308.76750000031</v>
      </c>
    </row>
    <row r="45" spans="1:33" x14ac:dyDescent="0.25">
      <c r="A45" s="54">
        <v>213</v>
      </c>
      <c r="B45" s="55">
        <v>1.4410000000000001</v>
      </c>
      <c r="C45" s="55">
        <v>199</v>
      </c>
      <c r="D45" s="55">
        <v>1.4350000000000001</v>
      </c>
      <c r="E45" s="56">
        <v>200</v>
      </c>
      <c r="F45" s="57">
        <v>1.4408890000000001</v>
      </c>
      <c r="G45" s="54">
        <v>213</v>
      </c>
      <c r="H45" s="55">
        <v>1.468</v>
      </c>
      <c r="I45" s="55">
        <f t="shared" si="0"/>
        <v>206</v>
      </c>
      <c r="J45" s="55">
        <v>1.468</v>
      </c>
      <c r="K45" s="55">
        <f t="shared" si="1"/>
        <v>212</v>
      </c>
      <c r="L45" s="57">
        <v>1.468</v>
      </c>
      <c r="M45" s="54">
        <v>213</v>
      </c>
      <c r="N45" s="55">
        <v>1.4159999999999999</v>
      </c>
      <c r="O45" s="56">
        <v>213</v>
      </c>
      <c r="P45" s="55">
        <v>1.4159999999999999</v>
      </c>
      <c r="Q45" s="55">
        <v>211</v>
      </c>
      <c r="R45" s="57">
        <v>1.416004</v>
      </c>
      <c r="S45" s="14"/>
      <c r="T45" s="14"/>
      <c r="U45" s="14"/>
      <c r="V45" s="8" cm="1">
        <f t="array" ref="V4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44)+1),6),"")</f>
        <v>0.118451</v>
      </c>
      <c r="W45" s="9">
        <f t="shared" si="2"/>
        <v>1941.9723327568106</v>
      </c>
      <c r="Y45" s="30">
        <v>0.116498</v>
      </c>
      <c r="Z45" s="15"/>
      <c r="AA45" s="16"/>
      <c r="AB45" s="23">
        <v>661158.68375000032</v>
      </c>
    </row>
    <row r="46" spans="1:33" x14ac:dyDescent="0.25">
      <c r="A46" s="54">
        <v>212</v>
      </c>
      <c r="B46" s="55">
        <v>1.4390000000000001</v>
      </c>
      <c r="C46" s="55">
        <v>198</v>
      </c>
      <c r="D46" s="55">
        <v>1.4322889999999999</v>
      </c>
      <c r="E46" s="56">
        <v>199</v>
      </c>
      <c r="F46" s="57">
        <v>1.438412</v>
      </c>
      <c r="G46" s="54">
        <v>212</v>
      </c>
      <c r="H46" s="55">
        <v>1.464002</v>
      </c>
      <c r="I46" s="55">
        <f t="shared" si="0"/>
        <v>205</v>
      </c>
      <c r="J46" s="55">
        <v>1.464</v>
      </c>
      <c r="K46" s="55">
        <f t="shared" si="1"/>
        <v>211</v>
      </c>
      <c r="L46" s="57">
        <v>1.4640200000000001</v>
      </c>
      <c r="M46" s="54">
        <v>212</v>
      </c>
      <c r="N46" s="55">
        <v>1.4140740000000001</v>
      </c>
      <c r="O46" s="56">
        <v>212</v>
      </c>
      <c r="P46" s="55">
        <v>1.4139980000000001</v>
      </c>
      <c r="Q46" s="55">
        <v>210</v>
      </c>
      <c r="R46" s="57">
        <v>1.4139999999999999</v>
      </c>
      <c r="S46" s="14"/>
      <c r="T46" s="14"/>
      <c r="U46" s="14"/>
      <c r="V46" s="8" cm="1">
        <f t="array" ref="V4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45)+1),6),"")</f>
        <v>0.12045500000000001</v>
      </c>
      <c r="W46" s="9">
        <f t="shared" si="2"/>
        <v>1974.8273745449312</v>
      </c>
      <c r="Y46" s="30">
        <v>0.118281</v>
      </c>
      <c r="Z46" s="15">
        <v>37.5</v>
      </c>
      <c r="AA46" s="16">
        <v>676008.6</v>
      </c>
      <c r="AB46" s="23">
        <v>676008.60000000033</v>
      </c>
    </row>
    <row r="47" spans="1:33" x14ac:dyDescent="0.25">
      <c r="A47" s="54">
        <v>211</v>
      </c>
      <c r="B47" s="55">
        <v>1.4370000000000001</v>
      </c>
      <c r="C47" s="55">
        <v>197</v>
      </c>
      <c r="D47" s="55">
        <v>1.4308050000000001</v>
      </c>
      <c r="E47" s="56">
        <v>198</v>
      </c>
      <c r="F47" s="57">
        <v>1.4350270000000001</v>
      </c>
      <c r="G47" s="54">
        <v>211</v>
      </c>
      <c r="H47" s="55">
        <v>1.4620040000000001</v>
      </c>
      <c r="I47" s="55">
        <f t="shared" si="0"/>
        <v>204</v>
      </c>
      <c r="J47" s="55">
        <v>1.4621</v>
      </c>
      <c r="K47" s="55">
        <f t="shared" si="1"/>
        <v>210</v>
      </c>
      <c r="L47" s="57">
        <v>1.462037</v>
      </c>
      <c r="M47" s="54">
        <v>211</v>
      </c>
      <c r="N47" s="55">
        <v>1.41</v>
      </c>
      <c r="O47" s="56">
        <v>211</v>
      </c>
      <c r="P47" s="55">
        <v>1.410104</v>
      </c>
      <c r="Q47" s="55">
        <v>209</v>
      </c>
      <c r="R47" s="57">
        <v>1.4100999999999999</v>
      </c>
      <c r="S47" s="14"/>
      <c r="T47" s="14"/>
      <c r="U47" s="14"/>
      <c r="V47" s="8" cm="1">
        <f t="array" ref="V4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46)+1),6),"")</f>
        <v>0.12435499999999999</v>
      </c>
      <c r="W47" s="9">
        <f t="shared" si="2"/>
        <v>2038.7668271266025</v>
      </c>
      <c r="Y47" s="30">
        <v>0.121395</v>
      </c>
      <c r="Z47" s="15"/>
      <c r="AA47" s="16"/>
      <c r="AB47" s="23">
        <v>692456.93857142888</v>
      </c>
    </row>
    <row r="48" spans="1:33" x14ac:dyDescent="0.25">
      <c r="A48" s="54">
        <v>210</v>
      </c>
      <c r="B48" s="55">
        <v>1.4350020000000001</v>
      </c>
      <c r="C48" s="55">
        <v>196</v>
      </c>
      <c r="D48" s="55">
        <v>1.4248890000000001</v>
      </c>
      <c r="E48" s="56">
        <v>197</v>
      </c>
      <c r="F48" s="57">
        <v>1.4331149999999999</v>
      </c>
      <c r="G48" s="54">
        <v>210</v>
      </c>
      <c r="H48" s="55">
        <v>1.4601660000000001</v>
      </c>
      <c r="I48" s="55">
        <f t="shared" si="0"/>
        <v>203</v>
      </c>
      <c r="J48" s="55">
        <v>1.46</v>
      </c>
      <c r="K48" s="55">
        <f t="shared" si="1"/>
        <v>209</v>
      </c>
      <c r="L48" s="57">
        <v>1.460002</v>
      </c>
      <c r="M48" s="54">
        <v>210</v>
      </c>
      <c r="N48" s="55">
        <v>1.408002</v>
      </c>
      <c r="O48" s="56">
        <v>210</v>
      </c>
      <c r="P48" s="55">
        <v>1.408104</v>
      </c>
      <c r="Q48" s="55">
        <v>208</v>
      </c>
      <c r="R48" s="57">
        <v>1.408012</v>
      </c>
      <c r="S48" s="14"/>
      <c r="T48" s="14"/>
      <c r="U48" s="14"/>
      <c r="V48" s="8" cm="1">
        <f t="array" ref="V4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47)+1),6),"")</f>
        <v>0.126443</v>
      </c>
      <c r="W48" s="9">
        <f t="shared" si="2"/>
        <v>2072.9990263549435</v>
      </c>
      <c r="Y48" s="30">
        <v>0.123545</v>
      </c>
      <c r="Z48" s="15"/>
      <c r="AA48" s="16"/>
      <c r="AB48" s="23">
        <v>708905.27714285743</v>
      </c>
    </row>
    <row r="49" spans="1:28" x14ac:dyDescent="0.25">
      <c r="A49" s="54">
        <v>209</v>
      </c>
      <c r="B49" s="55">
        <v>1.4330000000000001</v>
      </c>
      <c r="C49" s="55">
        <v>195</v>
      </c>
      <c r="D49" s="55">
        <v>1.422984</v>
      </c>
      <c r="E49" s="56">
        <v>196</v>
      </c>
      <c r="F49" s="57">
        <v>1.431</v>
      </c>
      <c r="G49" s="54">
        <v>209</v>
      </c>
      <c r="H49" s="55">
        <v>1.4579340000000001</v>
      </c>
      <c r="I49" s="55">
        <f t="shared" si="0"/>
        <v>202</v>
      </c>
      <c r="J49" s="55">
        <v>1.4579629999999999</v>
      </c>
      <c r="K49" s="55">
        <f t="shared" si="1"/>
        <v>208</v>
      </c>
      <c r="L49" s="57">
        <v>1.4579979999999999</v>
      </c>
      <c r="M49" s="54">
        <v>209</v>
      </c>
      <c r="N49" s="55">
        <v>1.4059999999999999</v>
      </c>
      <c r="O49" s="56">
        <v>209</v>
      </c>
      <c r="P49" s="55">
        <v>1.406012</v>
      </c>
      <c r="Q49" s="55">
        <v>207</v>
      </c>
      <c r="R49" s="57">
        <v>1.4059999999999999</v>
      </c>
      <c r="S49" s="14"/>
      <c r="T49" s="14"/>
      <c r="U49" s="14"/>
      <c r="V49" s="8" cm="1">
        <f t="array" ref="V4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48)+1),6),"")</f>
        <v>0.12845500000000001</v>
      </c>
      <c r="W49" s="9">
        <f t="shared" si="2"/>
        <v>2105.9852259945137</v>
      </c>
      <c r="Y49" s="30">
        <v>0.127585</v>
      </c>
      <c r="Z49" s="15"/>
      <c r="AA49" s="16"/>
      <c r="AB49" s="23">
        <v>725353.61571428599</v>
      </c>
    </row>
    <row r="50" spans="1:28" x14ac:dyDescent="0.25">
      <c r="A50" s="54">
        <v>208</v>
      </c>
      <c r="B50" s="55">
        <v>1.430965</v>
      </c>
      <c r="C50" s="55">
        <v>194</v>
      </c>
      <c r="D50" s="55">
        <v>1.420676</v>
      </c>
      <c r="E50" s="56">
        <v>195</v>
      </c>
      <c r="F50" s="57">
        <v>1.4249940000000001</v>
      </c>
      <c r="G50" s="54">
        <v>208</v>
      </c>
      <c r="H50" s="55">
        <v>1.4559839999999999</v>
      </c>
      <c r="I50" s="55">
        <f t="shared" si="0"/>
        <v>201</v>
      </c>
      <c r="J50" s="55">
        <v>1.455641</v>
      </c>
      <c r="K50" s="55">
        <f t="shared" si="1"/>
        <v>207</v>
      </c>
      <c r="L50" s="57">
        <v>1.453781</v>
      </c>
      <c r="M50" s="54">
        <v>208</v>
      </c>
      <c r="N50" s="55">
        <v>1.4019999999999999</v>
      </c>
      <c r="O50" s="56">
        <v>208</v>
      </c>
      <c r="P50" s="55">
        <v>1.4020269999999999</v>
      </c>
      <c r="Q50" s="55">
        <v>206</v>
      </c>
      <c r="R50" s="57">
        <v>1.401996</v>
      </c>
      <c r="S50" s="14"/>
      <c r="T50" s="14"/>
      <c r="U50" s="14"/>
      <c r="V50" s="8" cm="1">
        <f t="array" ref="V5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49)+1),6),"")</f>
        <v>0.13245899999999999</v>
      </c>
      <c r="W50" s="9">
        <f t="shared" si="2"/>
        <v>2171.6297306450292</v>
      </c>
      <c r="Y50" s="30">
        <v>0.129748</v>
      </c>
      <c r="Z50" s="15"/>
      <c r="AA50" s="16"/>
      <c r="AB50" s="23">
        <v>741801.95428571454</v>
      </c>
    </row>
    <row r="51" spans="1:28" x14ac:dyDescent="0.25">
      <c r="A51" s="54">
        <v>207</v>
      </c>
      <c r="B51" s="55">
        <v>1.424955</v>
      </c>
      <c r="C51" s="55">
        <v>193</v>
      </c>
      <c r="D51" s="55">
        <v>1.418936</v>
      </c>
      <c r="E51" s="56">
        <v>192</v>
      </c>
      <c r="F51" s="57">
        <v>1.422965</v>
      </c>
      <c r="G51" s="54">
        <v>207</v>
      </c>
      <c r="H51" s="55">
        <v>1.4500470000000001</v>
      </c>
      <c r="I51" s="55">
        <f t="shared" si="0"/>
        <v>200</v>
      </c>
      <c r="J51" s="55">
        <v>1.4519629999999999</v>
      </c>
      <c r="K51" s="55">
        <f t="shared" si="1"/>
        <v>206</v>
      </c>
      <c r="L51" s="57">
        <v>1.451314</v>
      </c>
      <c r="M51" s="54">
        <v>207</v>
      </c>
      <c r="N51" s="55">
        <v>1.3979410000000001</v>
      </c>
      <c r="O51" s="56">
        <v>207</v>
      </c>
      <c r="P51" s="55">
        <v>1.398002</v>
      </c>
      <c r="Q51" s="55">
        <v>205</v>
      </c>
      <c r="R51" s="57">
        <v>1.397602</v>
      </c>
      <c r="S51" s="14"/>
      <c r="T51" s="14"/>
      <c r="U51" s="14"/>
      <c r="V51" s="8" cm="1">
        <f t="array" ref="V5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50)+1),6),"")</f>
        <v>0.136853</v>
      </c>
      <c r="W51" s="9">
        <f t="shared" si="2"/>
        <v>2243.6681805537128</v>
      </c>
      <c r="Y51" s="30">
        <v>0.13491900000000001</v>
      </c>
      <c r="Z51" s="15"/>
      <c r="AA51" s="16"/>
      <c r="AB51" s="23">
        <v>758250.2928571431</v>
      </c>
    </row>
    <row r="52" spans="1:28" x14ac:dyDescent="0.25">
      <c r="A52" s="54">
        <v>206</v>
      </c>
      <c r="B52" s="55">
        <v>1.42299</v>
      </c>
      <c r="C52" s="55">
        <v>192</v>
      </c>
      <c r="D52" s="55">
        <v>1.4149959999999999</v>
      </c>
      <c r="E52" s="56">
        <v>192</v>
      </c>
      <c r="F52" s="57">
        <v>1.42099</v>
      </c>
      <c r="G52" s="54">
        <v>206</v>
      </c>
      <c r="H52" s="55">
        <v>1.4477500000000001</v>
      </c>
      <c r="I52" s="55">
        <f t="shared" si="0"/>
        <v>199</v>
      </c>
      <c r="J52" s="55">
        <v>1.4451350000000001</v>
      </c>
      <c r="K52" s="55">
        <f t="shared" si="1"/>
        <v>205</v>
      </c>
      <c r="L52" s="57">
        <v>1.446855</v>
      </c>
      <c r="M52" s="54">
        <v>206</v>
      </c>
      <c r="N52" s="55">
        <v>1.39598</v>
      </c>
      <c r="O52" s="56">
        <v>206</v>
      </c>
      <c r="P52" s="55">
        <v>1.3959980000000001</v>
      </c>
      <c r="Q52" s="55">
        <v>204</v>
      </c>
      <c r="R52" s="57">
        <v>1.3953070000000001</v>
      </c>
      <c r="S52" s="14"/>
      <c r="T52" s="14"/>
      <c r="U52" s="14"/>
      <c r="V52" s="8" cm="1">
        <f t="array" ref="V5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51)+1),6),"")</f>
        <v>0.13914799999999999</v>
      </c>
      <c r="W52" s="9">
        <f t="shared" si="2"/>
        <v>2281.2940891883113</v>
      </c>
      <c r="Y52" s="30">
        <v>0.137097</v>
      </c>
      <c r="Z52" s="15"/>
      <c r="AA52" s="16"/>
      <c r="AB52" s="23">
        <v>774698.63142857165</v>
      </c>
    </row>
    <row r="53" spans="1:28" x14ac:dyDescent="0.25">
      <c r="A53" s="54">
        <v>205</v>
      </c>
      <c r="B53" s="55">
        <v>1.4208179999999999</v>
      </c>
      <c r="C53" s="55">
        <v>191</v>
      </c>
      <c r="D53" s="55">
        <v>1.4190640000000001</v>
      </c>
      <c r="E53" s="56">
        <v>189</v>
      </c>
      <c r="F53" s="57">
        <v>1.4184650000000001</v>
      </c>
      <c r="G53" s="54">
        <v>205</v>
      </c>
      <c r="H53" s="55">
        <v>1.4421759999999999</v>
      </c>
      <c r="I53" s="55">
        <f t="shared" si="0"/>
        <v>198</v>
      </c>
      <c r="J53" s="55">
        <v>1.443516</v>
      </c>
      <c r="K53" s="55">
        <f t="shared" si="1"/>
        <v>204</v>
      </c>
      <c r="L53" s="57">
        <v>1.4434750000000001</v>
      </c>
      <c r="M53" s="54">
        <v>205</v>
      </c>
      <c r="N53" s="55">
        <v>1.393859</v>
      </c>
      <c r="O53" s="56">
        <v>205</v>
      </c>
      <c r="P53" s="55">
        <v>1.393996</v>
      </c>
      <c r="Q53" s="55">
        <v>203</v>
      </c>
      <c r="R53" s="57">
        <v>1.3939569999999999</v>
      </c>
      <c r="S53" s="14"/>
      <c r="T53" s="14"/>
      <c r="U53" s="14"/>
      <c r="V53" s="8" cm="1">
        <f t="array" ref="V5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52)+1),6),"")</f>
        <v>0.14049800000000001</v>
      </c>
      <c r="W53" s="9">
        <f t="shared" si="2"/>
        <v>2303.4269766204288</v>
      </c>
      <c r="Y53" s="30">
        <v>0.14139099999999999</v>
      </c>
      <c r="Z53" s="15">
        <v>37</v>
      </c>
      <c r="AA53" s="16">
        <v>791146.97</v>
      </c>
      <c r="AB53" s="23">
        <v>791146.9700000002</v>
      </c>
    </row>
    <row r="54" spans="1:28" x14ac:dyDescent="0.25">
      <c r="A54" s="54">
        <v>204</v>
      </c>
      <c r="B54" s="55">
        <v>1.4186840000000001</v>
      </c>
      <c r="C54" s="55">
        <v>190</v>
      </c>
      <c r="D54" s="55">
        <v>1.415</v>
      </c>
      <c r="E54" s="56">
        <v>188</v>
      </c>
      <c r="F54" s="57">
        <v>1.419068</v>
      </c>
      <c r="G54" s="54">
        <v>204</v>
      </c>
      <c r="H54" s="55">
        <v>1.4403090000000001</v>
      </c>
      <c r="I54" s="55">
        <f t="shared" si="0"/>
        <v>197</v>
      </c>
      <c r="J54" s="55">
        <v>1.440375</v>
      </c>
      <c r="K54" s="55">
        <f t="shared" si="1"/>
        <v>203</v>
      </c>
      <c r="L54" s="57">
        <v>1.441057</v>
      </c>
      <c r="M54" s="54">
        <v>204</v>
      </c>
      <c r="N54" s="55">
        <v>1.3918569999999999</v>
      </c>
      <c r="O54" s="56">
        <v>204</v>
      </c>
      <c r="P54" s="55">
        <v>1.3919790000000001</v>
      </c>
      <c r="Q54" s="55">
        <v>202</v>
      </c>
      <c r="R54" s="57">
        <v>1.3917790000000001</v>
      </c>
      <c r="S54" s="14"/>
      <c r="T54" s="14"/>
      <c r="U54" s="14"/>
      <c r="V54" s="8" cm="1">
        <f t="array" ref="V5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53)+1),6),"")</f>
        <v>0.142676</v>
      </c>
      <c r="W54" s="9">
        <f t="shared" si="2"/>
        <v>2339.1347016775776</v>
      </c>
      <c r="Y54" s="30">
        <v>0.14336499999999999</v>
      </c>
      <c r="Z54" s="15"/>
      <c r="AA54" s="16"/>
      <c r="AB54" s="23">
        <v>805350.88750000019</v>
      </c>
    </row>
    <row r="55" spans="1:28" x14ac:dyDescent="0.25">
      <c r="A55" s="54">
        <v>203</v>
      </c>
      <c r="B55" s="55">
        <v>1.415</v>
      </c>
      <c r="C55" s="55">
        <v>189</v>
      </c>
      <c r="D55" s="55">
        <v>1.413219</v>
      </c>
      <c r="E55" s="56">
        <v>187</v>
      </c>
      <c r="F55" s="57">
        <v>1.4150309999999999</v>
      </c>
      <c r="G55" s="54">
        <v>203</v>
      </c>
      <c r="H55" s="55">
        <v>1.439416</v>
      </c>
      <c r="I55" s="55">
        <f t="shared" si="0"/>
        <v>196</v>
      </c>
      <c r="J55" s="55">
        <v>1.4394819999999999</v>
      </c>
      <c r="K55" s="55">
        <f t="shared" si="1"/>
        <v>202</v>
      </c>
      <c r="L55" s="57">
        <v>1.439959</v>
      </c>
      <c r="M55" s="54">
        <v>203</v>
      </c>
      <c r="N55" s="55">
        <v>1.3882399999999999</v>
      </c>
      <c r="O55" s="56">
        <v>203</v>
      </c>
      <c r="P55" s="55">
        <v>1.3899980000000001</v>
      </c>
      <c r="Q55" s="55">
        <v>201</v>
      </c>
      <c r="R55" s="57">
        <v>1.3898539999999999</v>
      </c>
      <c r="S55" s="14"/>
      <c r="T55" s="14"/>
      <c r="U55" s="14"/>
      <c r="V55" s="8" cm="1">
        <f t="array" ref="V5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54)+1),6),"")</f>
        <v>0.14460100000000001</v>
      </c>
      <c r="W55" s="9">
        <f t="shared" si="2"/>
        <v>2370.6945596826331</v>
      </c>
      <c r="Y55" s="30">
        <v>0.146096</v>
      </c>
      <c r="Z55" s="15"/>
      <c r="AA55" s="16"/>
      <c r="AB55" s="23">
        <v>819554.80500000017</v>
      </c>
    </row>
    <row r="56" spans="1:28" x14ac:dyDescent="0.25">
      <c r="A56" s="54">
        <v>202</v>
      </c>
      <c r="B56" s="55">
        <v>1.413</v>
      </c>
      <c r="C56" s="55">
        <v>188</v>
      </c>
      <c r="D56" s="55">
        <v>1.411</v>
      </c>
      <c r="E56" s="56">
        <v>187</v>
      </c>
      <c r="F56" s="57">
        <v>1.4130389999999999</v>
      </c>
      <c r="G56" s="54">
        <v>202</v>
      </c>
      <c r="H56" s="55">
        <v>1.437592</v>
      </c>
      <c r="I56" s="55">
        <f t="shared" si="0"/>
        <v>195</v>
      </c>
      <c r="J56" s="55">
        <v>1.4359999999999999</v>
      </c>
      <c r="K56" s="55">
        <f t="shared" si="1"/>
        <v>201</v>
      </c>
      <c r="L56" s="57">
        <v>1.436855</v>
      </c>
      <c r="M56" s="54">
        <v>202</v>
      </c>
      <c r="N56" s="55">
        <v>1.386574</v>
      </c>
      <c r="O56" s="56">
        <v>202</v>
      </c>
      <c r="P56" s="55">
        <v>1.3879999999999999</v>
      </c>
      <c r="Q56" s="55">
        <v>200</v>
      </c>
      <c r="R56" s="57">
        <v>1.3872990000000001</v>
      </c>
      <c r="S56" s="14"/>
      <c r="T56" s="14"/>
      <c r="U56" s="14"/>
      <c r="V56" s="8" cm="1">
        <f t="array" ref="V5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55)+1),6),"")</f>
        <v>0.14715600000000001</v>
      </c>
      <c r="W56" s="9">
        <f t="shared" si="2"/>
        <v>2412.5830984893437</v>
      </c>
      <c r="Y56" s="30">
        <v>0.14829700000000001</v>
      </c>
      <c r="Z56" s="15"/>
      <c r="AA56" s="16"/>
      <c r="AB56" s="23">
        <v>833758.72250000015</v>
      </c>
    </row>
    <row r="57" spans="1:28" x14ac:dyDescent="0.25">
      <c r="A57" s="54">
        <v>201</v>
      </c>
      <c r="B57" s="55">
        <v>1.4102250000000001</v>
      </c>
      <c r="C57" s="55">
        <v>187</v>
      </c>
      <c r="D57" s="55">
        <v>1.4070119999999999</v>
      </c>
      <c r="E57" s="56">
        <v>185</v>
      </c>
      <c r="F57" s="57">
        <v>1.411</v>
      </c>
      <c r="G57" s="54">
        <v>201</v>
      </c>
      <c r="H57" s="55">
        <v>1.434002</v>
      </c>
      <c r="I57" s="55">
        <f t="shared" si="0"/>
        <v>194</v>
      </c>
      <c r="J57" s="55">
        <v>1.4340040000000001</v>
      </c>
      <c r="K57" s="55">
        <f t="shared" si="1"/>
        <v>200</v>
      </c>
      <c r="L57" s="57">
        <v>1.4351480000000001</v>
      </c>
      <c r="M57" s="54">
        <v>201</v>
      </c>
      <c r="N57" s="55">
        <v>1.3819999999999999</v>
      </c>
      <c r="O57" s="56">
        <v>201</v>
      </c>
      <c r="P57" s="55">
        <v>1.382309</v>
      </c>
      <c r="Q57" s="55">
        <v>199</v>
      </c>
      <c r="R57" s="57">
        <v>1.3819999999999999</v>
      </c>
      <c r="S57" s="14"/>
      <c r="T57" s="14"/>
      <c r="U57" s="14"/>
      <c r="V57" s="8" cm="1">
        <f t="array" ref="V5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56)+1),6),"")</f>
        <v>0.15245500000000001</v>
      </c>
      <c r="W57" s="9">
        <f t="shared" si="2"/>
        <v>2499.458780343261</v>
      </c>
      <c r="Y57" s="30">
        <v>0.15246699999999999</v>
      </c>
      <c r="Z57" s="15"/>
      <c r="AA57" s="16"/>
      <c r="AB57" s="23">
        <v>847962.64000000013</v>
      </c>
    </row>
    <row r="58" spans="1:28" x14ac:dyDescent="0.25">
      <c r="A58" s="54">
        <v>200</v>
      </c>
      <c r="B58" s="55">
        <v>1.406992</v>
      </c>
      <c r="C58" s="55">
        <v>186</v>
      </c>
      <c r="D58" s="55">
        <v>1.4027909999999999</v>
      </c>
      <c r="E58" s="56">
        <v>185</v>
      </c>
      <c r="F58" s="57">
        <v>1.4069339999999999</v>
      </c>
      <c r="G58" s="54">
        <v>200</v>
      </c>
      <c r="H58" s="55">
        <v>1.432105</v>
      </c>
      <c r="I58" s="55">
        <f t="shared" si="0"/>
        <v>193</v>
      </c>
      <c r="J58" s="55">
        <v>1.4319729999999999</v>
      </c>
      <c r="K58" s="55">
        <f t="shared" si="1"/>
        <v>199</v>
      </c>
      <c r="L58" s="57">
        <v>1.431945</v>
      </c>
      <c r="M58" s="54">
        <v>200</v>
      </c>
      <c r="N58" s="55">
        <v>1.38</v>
      </c>
      <c r="O58" s="56">
        <v>200</v>
      </c>
      <c r="P58" s="55">
        <v>1.380174</v>
      </c>
      <c r="Q58" s="55">
        <v>198</v>
      </c>
      <c r="R58" s="57">
        <v>1.379494</v>
      </c>
      <c r="S58" s="14"/>
      <c r="T58" s="14"/>
      <c r="U58" s="14"/>
      <c r="V58" s="8" cm="1">
        <f t="array" ref="V5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57)+1),6),"")</f>
        <v>0.15496099999999999</v>
      </c>
      <c r="W58" s="9">
        <f t="shared" si="2"/>
        <v>2540.5439773098424</v>
      </c>
      <c r="Y58" s="30">
        <v>0.15449499999999999</v>
      </c>
      <c r="Z58" s="15"/>
      <c r="AA58" s="16"/>
      <c r="AB58" s="23">
        <v>862166.55750000011</v>
      </c>
    </row>
    <row r="59" spans="1:28" x14ac:dyDescent="0.25">
      <c r="A59" s="54">
        <v>199</v>
      </c>
      <c r="B59" s="55">
        <v>1.402957</v>
      </c>
      <c r="C59" s="55">
        <v>185</v>
      </c>
      <c r="D59" s="55">
        <v>1.4009959999999999</v>
      </c>
      <c r="E59" s="56">
        <v>184</v>
      </c>
      <c r="F59" s="57">
        <v>1.4010609999999999</v>
      </c>
      <c r="G59" s="54">
        <v>199</v>
      </c>
      <c r="H59" s="55">
        <v>1.4259999999999999</v>
      </c>
      <c r="I59" s="55">
        <f t="shared" si="0"/>
        <v>192</v>
      </c>
      <c r="J59" s="55">
        <v>1.4261189999999999</v>
      </c>
      <c r="K59" s="55">
        <f t="shared" si="1"/>
        <v>198</v>
      </c>
      <c r="L59" s="57">
        <v>1.4259999999999999</v>
      </c>
      <c r="M59" s="54">
        <v>199</v>
      </c>
      <c r="N59" s="55">
        <v>1.3779999999999999</v>
      </c>
      <c r="O59" s="56">
        <v>199</v>
      </c>
      <c r="P59" s="55">
        <v>1.3779999999999999</v>
      </c>
      <c r="Q59" s="55">
        <v>197</v>
      </c>
      <c r="R59" s="57">
        <v>1.377988</v>
      </c>
      <c r="S59" s="14"/>
      <c r="T59" s="14"/>
      <c r="U59" s="14"/>
      <c r="V59" s="8" cm="1">
        <f t="array" ref="V5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58)+1),6),"")</f>
        <v>0.15646699999999999</v>
      </c>
      <c r="W59" s="9">
        <f t="shared" si="2"/>
        <v>2565.2344428452261</v>
      </c>
      <c r="Y59" s="30">
        <v>0.15657699999999999</v>
      </c>
      <c r="Z59" s="15"/>
      <c r="AA59" s="16"/>
      <c r="AB59" s="23">
        <v>876370.47500000009</v>
      </c>
    </row>
    <row r="60" spans="1:28" x14ac:dyDescent="0.25">
      <c r="A60" s="54">
        <v>198</v>
      </c>
      <c r="B60" s="55">
        <v>1.4009940000000001</v>
      </c>
      <c r="C60" s="55">
        <v>184</v>
      </c>
      <c r="D60" s="55">
        <v>1.398793</v>
      </c>
      <c r="E60" s="56">
        <v>183</v>
      </c>
      <c r="F60" s="57">
        <v>1.3996189999999999</v>
      </c>
      <c r="G60" s="54">
        <v>198</v>
      </c>
      <c r="H60" s="55">
        <v>1.424002</v>
      </c>
      <c r="I60" s="55">
        <f t="shared" si="0"/>
        <v>191</v>
      </c>
      <c r="J60" s="55">
        <v>1.4235610000000001</v>
      </c>
      <c r="K60" s="55">
        <f t="shared" si="1"/>
        <v>197</v>
      </c>
      <c r="L60" s="57">
        <v>1.423988</v>
      </c>
      <c r="M60" s="54">
        <v>198</v>
      </c>
      <c r="N60" s="55">
        <v>1.3733120000000001</v>
      </c>
      <c r="O60" s="56">
        <v>198</v>
      </c>
      <c r="P60" s="55">
        <v>1.3739980000000001</v>
      </c>
      <c r="Q60" s="55">
        <v>196</v>
      </c>
      <c r="R60" s="57">
        <v>1.3720760000000001</v>
      </c>
      <c r="S60" s="14"/>
      <c r="T60" s="14"/>
      <c r="U60" s="14"/>
      <c r="V60" s="8" cm="1">
        <f t="array" ref="V6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59)+1),6),"")</f>
        <v>0.162379</v>
      </c>
      <c r="W60" s="9">
        <f t="shared" si="2"/>
        <v>2662.1600950664674</v>
      </c>
      <c r="Y60" s="30">
        <v>0.15861600000000001</v>
      </c>
      <c r="Z60" s="15"/>
      <c r="AA60" s="16"/>
      <c r="AB60" s="23">
        <v>890574.39250000007</v>
      </c>
    </row>
    <row r="61" spans="1:28" x14ac:dyDescent="0.25">
      <c r="A61" s="54">
        <v>197</v>
      </c>
      <c r="B61" s="55">
        <v>1.398217</v>
      </c>
      <c r="C61" s="55">
        <v>183</v>
      </c>
      <c r="D61" s="55">
        <v>1.396881</v>
      </c>
      <c r="E61" s="56">
        <v>181</v>
      </c>
      <c r="F61" s="57">
        <v>1.397008</v>
      </c>
      <c r="G61" s="54">
        <v>197</v>
      </c>
      <c r="H61" s="55">
        <v>1.4219820000000001</v>
      </c>
      <c r="I61" s="55">
        <f t="shared" si="0"/>
        <v>190</v>
      </c>
      <c r="J61" s="55">
        <v>1.421932</v>
      </c>
      <c r="K61" s="55">
        <f t="shared" si="1"/>
        <v>196</v>
      </c>
      <c r="L61" s="57">
        <v>1.4219980000000001</v>
      </c>
      <c r="M61" s="54">
        <v>197</v>
      </c>
      <c r="N61" s="55">
        <v>1.3703890000000001</v>
      </c>
      <c r="O61" s="56">
        <v>197</v>
      </c>
      <c r="P61" s="55">
        <v>1.371885</v>
      </c>
      <c r="Q61" s="55">
        <v>195</v>
      </c>
      <c r="R61" s="57">
        <v>1.3714120000000001</v>
      </c>
      <c r="S61" s="14"/>
      <c r="T61" s="14"/>
      <c r="U61" s="14"/>
      <c r="V61" s="8" cm="1">
        <f t="array" ref="V6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60)+1),6),"")</f>
        <v>0.16304299999999999</v>
      </c>
      <c r="W61" s="9">
        <f t="shared" si="2"/>
        <v>2673.0461967367828</v>
      </c>
      <c r="Y61" s="30">
        <v>0.162638</v>
      </c>
      <c r="Z61" s="15">
        <v>36.5</v>
      </c>
      <c r="AA61" s="16">
        <v>904778.31</v>
      </c>
      <c r="AB61" s="23">
        <v>904778.31</v>
      </c>
    </row>
    <row r="62" spans="1:28" x14ac:dyDescent="0.25">
      <c r="A62" s="54">
        <v>196</v>
      </c>
      <c r="B62" s="55">
        <v>1.396855</v>
      </c>
      <c r="C62" s="55">
        <v>182</v>
      </c>
      <c r="D62" s="55">
        <v>1.3935409999999999</v>
      </c>
      <c r="E62" s="56">
        <v>181</v>
      </c>
      <c r="F62" s="57">
        <v>1.394998</v>
      </c>
      <c r="G62" s="54">
        <v>196</v>
      </c>
      <c r="H62" s="55">
        <v>1.419969</v>
      </c>
      <c r="I62" s="55">
        <f t="shared" si="0"/>
        <v>189</v>
      </c>
      <c r="J62" s="55">
        <v>1.418939</v>
      </c>
      <c r="K62" s="55">
        <f t="shared" si="1"/>
        <v>195</v>
      </c>
      <c r="L62" s="57">
        <v>1.4199919999999999</v>
      </c>
      <c r="M62" s="54">
        <v>196</v>
      </c>
      <c r="N62" s="55">
        <v>1.368398</v>
      </c>
      <c r="O62" s="56">
        <v>196</v>
      </c>
      <c r="P62" s="55">
        <v>1.3698950000000001</v>
      </c>
      <c r="Q62" s="55">
        <v>194</v>
      </c>
      <c r="R62" s="57">
        <v>1.368223</v>
      </c>
      <c r="S62" s="14"/>
      <c r="T62" s="14"/>
      <c r="U62" s="14"/>
      <c r="V62" s="8" cm="1">
        <f t="array" ref="V6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61)+1),6),"")</f>
        <v>0.16623199999999999</v>
      </c>
      <c r="W62" s="9">
        <f t="shared" si="2"/>
        <v>2725.3289952708728</v>
      </c>
      <c r="Y62" s="30">
        <v>0.164793</v>
      </c>
      <c r="Z62" s="15"/>
      <c r="AA62" s="16"/>
      <c r="AB62" s="23">
        <v>915903.24700000009</v>
      </c>
    </row>
    <row r="63" spans="1:28" x14ac:dyDescent="0.25">
      <c r="A63" s="54">
        <v>195</v>
      </c>
      <c r="B63" s="55">
        <v>1.3949389999999999</v>
      </c>
      <c r="C63" s="55">
        <v>181</v>
      </c>
      <c r="D63" s="55">
        <v>1.3929689999999999</v>
      </c>
      <c r="E63" s="56">
        <v>180</v>
      </c>
      <c r="F63" s="57">
        <v>1.39299</v>
      </c>
      <c r="G63" s="54">
        <v>195</v>
      </c>
      <c r="H63" s="55">
        <v>1.4159999999999999</v>
      </c>
      <c r="I63" s="55">
        <f t="shared" si="0"/>
        <v>188</v>
      </c>
      <c r="J63" s="55">
        <v>1.4159999999999999</v>
      </c>
      <c r="K63" s="55">
        <f t="shared" si="1"/>
        <v>194</v>
      </c>
      <c r="L63" s="57">
        <v>1.4159999999999999</v>
      </c>
      <c r="M63" s="54">
        <v>195</v>
      </c>
      <c r="N63" s="55">
        <v>1.3640000000000001</v>
      </c>
      <c r="O63" s="56">
        <v>195</v>
      </c>
      <c r="P63" s="55">
        <v>1.3676950000000001</v>
      </c>
      <c r="Q63" s="55">
        <v>193</v>
      </c>
      <c r="R63" s="57">
        <v>1.365283</v>
      </c>
      <c r="S63" s="14"/>
      <c r="T63" s="14"/>
      <c r="U63" s="14"/>
      <c r="V63" s="8" cm="1">
        <f t="array" ref="V6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62)+1),6),"")</f>
        <v>0.16917199999999999</v>
      </c>
      <c r="W63" s="9">
        <f t="shared" si="2"/>
        <v>2773.529505678594</v>
      </c>
      <c r="Y63" s="30">
        <v>0.167491</v>
      </c>
      <c r="Z63" s="15"/>
      <c r="AA63" s="16"/>
      <c r="AB63" s="23">
        <v>927028.18400000012</v>
      </c>
    </row>
    <row r="64" spans="1:28" x14ac:dyDescent="0.25">
      <c r="A64" s="54">
        <v>194</v>
      </c>
      <c r="B64" s="55">
        <v>1.39299</v>
      </c>
      <c r="C64" s="55">
        <v>180</v>
      </c>
      <c r="D64" s="55">
        <v>1.387</v>
      </c>
      <c r="E64" s="56">
        <v>179</v>
      </c>
      <c r="F64" s="57">
        <v>1.387348</v>
      </c>
      <c r="G64" s="54">
        <v>194</v>
      </c>
      <c r="H64" s="55">
        <v>1.4140200000000001</v>
      </c>
      <c r="I64" s="55">
        <f t="shared" si="0"/>
        <v>187</v>
      </c>
      <c r="J64" s="55">
        <v>1.413281</v>
      </c>
      <c r="K64" s="55">
        <f t="shared" si="1"/>
        <v>193</v>
      </c>
      <c r="L64" s="57">
        <v>1.4139999999999999</v>
      </c>
      <c r="M64" s="54">
        <v>194</v>
      </c>
      <c r="N64" s="55">
        <v>1.3619939999999999</v>
      </c>
      <c r="O64" s="56">
        <v>194</v>
      </c>
      <c r="P64" s="55">
        <v>1.3638239999999999</v>
      </c>
      <c r="Q64" s="55">
        <v>192</v>
      </c>
      <c r="R64" s="57">
        <v>1.3620080000000001</v>
      </c>
      <c r="S64" s="14"/>
      <c r="T64" s="14"/>
      <c r="U64" s="14"/>
      <c r="V64" s="8" cm="1">
        <f t="array" ref="V6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63)+1),6),"")</f>
        <v>0.17244699999999999</v>
      </c>
      <c r="W64" s="9">
        <f t="shared" si="2"/>
        <v>2827.222251115767</v>
      </c>
      <c r="Y64" s="30">
        <v>0.16844600000000001</v>
      </c>
      <c r="Z64" s="15"/>
      <c r="AA64" s="16"/>
      <c r="AB64" s="23">
        <v>938153.12100000016</v>
      </c>
    </row>
    <row r="65" spans="1:28" x14ac:dyDescent="0.25">
      <c r="A65" s="54">
        <v>193</v>
      </c>
      <c r="B65" s="55">
        <v>1.387</v>
      </c>
      <c r="C65" s="55">
        <v>179</v>
      </c>
      <c r="D65" s="55">
        <v>1.385</v>
      </c>
      <c r="E65" s="56">
        <v>178</v>
      </c>
      <c r="F65" s="57">
        <v>1.385035</v>
      </c>
      <c r="G65" s="54">
        <v>193</v>
      </c>
      <c r="H65" s="55">
        <v>1.4119980000000001</v>
      </c>
      <c r="I65" s="55">
        <f t="shared" si="0"/>
        <v>186</v>
      </c>
      <c r="J65" s="55">
        <v>1.4097010000000001</v>
      </c>
      <c r="K65" s="55">
        <f t="shared" si="1"/>
        <v>192</v>
      </c>
      <c r="L65" s="57">
        <v>1.4119999999999999</v>
      </c>
      <c r="M65" s="54">
        <v>193</v>
      </c>
      <c r="N65" s="55">
        <v>1.3580159999999999</v>
      </c>
      <c r="O65" s="56">
        <v>193</v>
      </c>
      <c r="P65" s="55">
        <v>1.3616680000000001</v>
      </c>
      <c r="Q65" s="55">
        <v>191</v>
      </c>
      <c r="R65" s="57">
        <v>1.362395</v>
      </c>
      <c r="S65" s="14"/>
      <c r="T65" s="14"/>
      <c r="U65" s="14"/>
      <c r="V65" s="8" cm="1">
        <f t="array" ref="V6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64)+1),6),"")</f>
        <v>0.17205999999999999</v>
      </c>
      <c r="W65" s="9">
        <f t="shared" si="2"/>
        <v>2820.8774900518933</v>
      </c>
      <c r="Y65" s="30">
        <v>0.16984199999999999</v>
      </c>
      <c r="Z65" s="15"/>
      <c r="AA65" s="16"/>
      <c r="AB65" s="23">
        <v>949278.05800000019</v>
      </c>
    </row>
    <row r="66" spans="1:28" x14ac:dyDescent="0.25">
      <c r="A66" s="54">
        <v>192</v>
      </c>
      <c r="B66" s="55">
        <v>1.385</v>
      </c>
      <c r="C66" s="55">
        <v>178</v>
      </c>
      <c r="D66" s="55">
        <v>1.383</v>
      </c>
      <c r="E66" s="56">
        <v>177</v>
      </c>
      <c r="F66" s="57">
        <v>1.383</v>
      </c>
      <c r="G66" s="54">
        <v>192</v>
      </c>
      <c r="H66" s="55">
        <v>1.4079999999999999</v>
      </c>
      <c r="I66" s="55">
        <f t="shared" si="0"/>
        <v>185</v>
      </c>
      <c r="J66" s="55">
        <v>1.4043140000000001</v>
      </c>
      <c r="K66" s="55">
        <f t="shared" si="1"/>
        <v>191</v>
      </c>
      <c r="L66" s="57">
        <v>1.412002</v>
      </c>
      <c r="M66" s="54">
        <v>192</v>
      </c>
      <c r="N66" s="55">
        <v>1.35615</v>
      </c>
      <c r="O66" s="56">
        <v>192</v>
      </c>
      <c r="P66" s="55">
        <v>1.3580000000000001</v>
      </c>
      <c r="Q66" s="55">
        <v>190</v>
      </c>
      <c r="R66" s="57">
        <v>1.359127</v>
      </c>
      <c r="S66" s="14"/>
      <c r="T66" s="14"/>
      <c r="U66" s="14"/>
      <c r="V66" s="8" cm="1">
        <f t="array" ref="V6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65)+1),6),"")</f>
        <v>0.17532800000000001</v>
      </c>
      <c r="W66" s="9">
        <f t="shared" si="2"/>
        <v>2874.455472369048</v>
      </c>
      <c r="Y66" s="30">
        <v>0.17078699999999999</v>
      </c>
      <c r="Z66" s="15"/>
      <c r="AA66" s="16"/>
      <c r="AB66" s="23">
        <v>960402.99500000023</v>
      </c>
    </row>
    <row r="67" spans="1:28" x14ac:dyDescent="0.25">
      <c r="A67" s="54">
        <v>191</v>
      </c>
      <c r="B67" s="55">
        <v>1.3869860000000001</v>
      </c>
      <c r="C67" s="55">
        <v>177</v>
      </c>
      <c r="D67" s="55">
        <v>1.379</v>
      </c>
      <c r="E67" s="56">
        <v>180</v>
      </c>
      <c r="F67" s="57">
        <v>1.3786039999999999</v>
      </c>
      <c r="G67" s="54">
        <v>191</v>
      </c>
      <c r="H67" s="55">
        <v>1.4111819999999999</v>
      </c>
      <c r="I67" s="55">
        <f t="shared" si="0"/>
        <v>184</v>
      </c>
      <c r="J67" s="55">
        <v>1.402018</v>
      </c>
      <c r="K67" s="55">
        <f t="shared" si="1"/>
        <v>190</v>
      </c>
      <c r="L67" s="57">
        <v>1.4080330000000001</v>
      </c>
      <c r="M67" s="54">
        <v>191</v>
      </c>
      <c r="N67" s="55">
        <v>1.360055</v>
      </c>
      <c r="O67" s="56">
        <v>191</v>
      </c>
      <c r="P67" s="55">
        <v>1.3560920000000001</v>
      </c>
      <c r="Q67" s="55">
        <v>189</v>
      </c>
      <c r="R67" s="57">
        <v>1.3573519999999999</v>
      </c>
      <c r="S67" s="14"/>
      <c r="T67" s="14"/>
      <c r="U67" s="14"/>
      <c r="V67" s="8" cm="1">
        <f t="array" ref="V6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66)+1),6),"")</f>
        <v>0.17710300000000001</v>
      </c>
      <c r="W67" s="9">
        <f t="shared" si="2"/>
        <v>2903.5561206594243</v>
      </c>
      <c r="Y67" s="30">
        <v>0.17380300000000001</v>
      </c>
      <c r="Z67" s="15"/>
      <c r="AA67" s="16"/>
      <c r="AB67" s="23">
        <v>971527.93200000026</v>
      </c>
    </row>
    <row r="68" spans="1:28" x14ac:dyDescent="0.25">
      <c r="A68" s="54">
        <v>190</v>
      </c>
      <c r="B68" s="55">
        <v>1.385</v>
      </c>
      <c r="C68" s="55">
        <v>176</v>
      </c>
      <c r="D68" s="55">
        <v>1.3760079999999999</v>
      </c>
      <c r="E68" s="56">
        <v>179</v>
      </c>
      <c r="F68" s="57">
        <v>1.3756390000000001</v>
      </c>
      <c r="G68" s="54">
        <v>190</v>
      </c>
      <c r="H68" s="55">
        <v>1.407945</v>
      </c>
      <c r="I68" s="55">
        <f t="shared" ref="I68:I131" si="3">I67-1</f>
        <v>183</v>
      </c>
      <c r="J68" s="55">
        <v>1.3998029999999999</v>
      </c>
      <c r="K68" s="55">
        <f t="shared" ref="K68:K131" si="4">K67-1</f>
        <v>189</v>
      </c>
      <c r="L68" s="57">
        <v>1.4039790000000001</v>
      </c>
      <c r="M68" s="54">
        <v>190</v>
      </c>
      <c r="N68" s="55">
        <v>1.3577969999999999</v>
      </c>
      <c r="O68" s="56">
        <v>190</v>
      </c>
      <c r="P68" s="55">
        <v>1.3540000000000001</v>
      </c>
      <c r="Q68" s="55">
        <v>188</v>
      </c>
      <c r="R68" s="57">
        <v>1.3540209999999999</v>
      </c>
      <c r="S68" s="14"/>
      <c r="T68" s="14"/>
      <c r="U68" s="14"/>
      <c r="V68" s="8" cm="1">
        <f t="array" ref="V6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67)+1),6),"")</f>
        <v>0.18043400000000001</v>
      </c>
      <c r="W68" s="9">
        <f t="shared" si="2"/>
        <v>2958.1669710567439</v>
      </c>
      <c r="Y68" s="30">
        <v>0.17468</v>
      </c>
      <c r="Z68" s="15"/>
      <c r="AA68" s="16"/>
      <c r="AB68" s="23">
        <v>982652.8690000003</v>
      </c>
    </row>
    <row r="69" spans="1:28" x14ac:dyDescent="0.25">
      <c r="A69" s="54">
        <v>189</v>
      </c>
      <c r="B69" s="55">
        <v>1.382574</v>
      </c>
      <c r="C69" s="55">
        <v>175</v>
      </c>
      <c r="D69" s="55">
        <v>1.3690549999999999</v>
      </c>
      <c r="E69" s="56">
        <v>177</v>
      </c>
      <c r="F69" s="57">
        <v>1.3730819999999999</v>
      </c>
      <c r="G69" s="54">
        <v>189</v>
      </c>
      <c r="H69" s="55">
        <v>1.4020079999999999</v>
      </c>
      <c r="I69" s="55">
        <f t="shared" si="3"/>
        <v>182</v>
      </c>
      <c r="J69" s="55">
        <v>1.3978870000000001</v>
      </c>
      <c r="K69" s="55">
        <f t="shared" si="4"/>
        <v>188</v>
      </c>
      <c r="L69" s="57">
        <v>1.4019900000000001</v>
      </c>
      <c r="M69" s="54">
        <v>189</v>
      </c>
      <c r="N69" s="55">
        <v>1.355305</v>
      </c>
      <c r="O69" s="56">
        <v>189</v>
      </c>
      <c r="P69" s="55">
        <v>1.35</v>
      </c>
      <c r="Q69" s="55">
        <v>187</v>
      </c>
      <c r="R69" s="57">
        <v>1.3533949999999999</v>
      </c>
      <c r="S69" s="14"/>
      <c r="T69" s="14"/>
      <c r="U69" s="14"/>
      <c r="V69" s="8" cm="1">
        <f t="array" ref="V6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68)+1),6),"")</f>
        <v>0.18106</v>
      </c>
      <c r="W69" s="9">
        <f t="shared" ref="W69:W132" si="5">V69*16394.7314311978</f>
        <v>2968.4300729326737</v>
      </c>
      <c r="Y69" s="30">
        <v>0.17605100000000001</v>
      </c>
      <c r="Z69" s="15"/>
      <c r="AA69" s="16"/>
      <c r="AB69" s="23">
        <v>993777.80600000033</v>
      </c>
    </row>
    <row r="70" spans="1:28" x14ac:dyDescent="0.25">
      <c r="A70" s="54">
        <v>188</v>
      </c>
      <c r="B70" s="55">
        <v>1.3786210000000001</v>
      </c>
      <c r="C70" s="55">
        <v>174</v>
      </c>
      <c r="D70" s="55">
        <v>1.3669549999999999</v>
      </c>
      <c r="E70" s="56">
        <v>177</v>
      </c>
      <c r="F70" s="57">
        <v>1.374449</v>
      </c>
      <c r="G70" s="54">
        <v>188</v>
      </c>
      <c r="H70" s="55">
        <v>1.400541</v>
      </c>
      <c r="I70" s="55">
        <f t="shared" si="3"/>
        <v>181</v>
      </c>
      <c r="J70" s="55">
        <v>1.3955880000000001</v>
      </c>
      <c r="K70" s="55">
        <f t="shared" si="4"/>
        <v>187</v>
      </c>
      <c r="L70" s="57">
        <v>1.3999729999999999</v>
      </c>
      <c r="M70" s="54">
        <v>188</v>
      </c>
      <c r="N70" s="55">
        <v>1.3519099999999999</v>
      </c>
      <c r="O70" s="56">
        <v>188</v>
      </c>
      <c r="P70" s="55">
        <v>1.3480000000000001</v>
      </c>
      <c r="Q70" s="55">
        <v>186</v>
      </c>
      <c r="R70" s="57">
        <v>1.3490979999999999</v>
      </c>
      <c r="S70" s="14"/>
      <c r="T70" s="14"/>
      <c r="U70" s="14"/>
      <c r="V70" s="8" cm="1">
        <f t="array" ref="V7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69)+1),6),"")</f>
        <v>0.18535699999999999</v>
      </c>
      <c r="W70" s="9">
        <f t="shared" si="5"/>
        <v>3038.8782338925307</v>
      </c>
      <c r="Y70" s="30">
        <v>0.17682300000000001</v>
      </c>
      <c r="Z70" s="15"/>
      <c r="AA70" s="16"/>
      <c r="AB70" s="23">
        <v>1004902.7430000004</v>
      </c>
    </row>
    <row r="71" spans="1:28" x14ac:dyDescent="0.25">
      <c r="A71" s="54">
        <v>187</v>
      </c>
      <c r="B71" s="55">
        <v>1.375672</v>
      </c>
      <c r="C71" s="55">
        <v>173</v>
      </c>
      <c r="D71" s="55">
        <v>1.36327</v>
      </c>
      <c r="E71" s="56">
        <v>176</v>
      </c>
      <c r="F71" s="57">
        <v>1.3709530000000001</v>
      </c>
      <c r="G71" s="54">
        <v>187</v>
      </c>
      <c r="H71" s="55">
        <v>1.39802</v>
      </c>
      <c r="I71" s="55">
        <f t="shared" si="3"/>
        <v>180</v>
      </c>
      <c r="J71" s="55">
        <v>1.3939490000000001</v>
      </c>
      <c r="K71" s="55">
        <f t="shared" si="4"/>
        <v>186</v>
      </c>
      <c r="L71" s="57">
        <v>1.397977</v>
      </c>
      <c r="M71" s="54">
        <v>187</v>
      </c>
      <c r="N71" s="55">
        <v>1.3480000000000001</v>
      </c>
      <c r="O71" s="56">
        <v>187</v>
      </c>
      <c r="P71" s="55">
        <v>1.344014</v>
      </c>
      <c r="Q71" s="55">
        <v>185</v>
      </c>
      <c r="R71" s="57">
        <v>1.346336</v>
      </c>
      <c r="S71" s="14"/>
      <c r="T71" s="14"/>
      <c r="U71" s="14"/>
      <c r="V71" s="8" cm="1">
        <f t="array" ref="V7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70)+1),6),"")</f>
        <v>0.18811900000000001</v>
      </c>
      <c r="W71" s="9">
        <f t="shared" si="5"/>
        <v>3084.1604821054993</v>
      </c>
      <c r="Y71" s="30">
        <v>0.17966299999999999</v>
      </c>
      <c r="Z71" s="15">
        <v>36</v>
      </c>
      <c r="AA71" s="16">
        <v>1016027.68</v>
      </c>
      <c r="AB71" s="23">
        <v>1016027.6800000004</v>
      </c>
    </row>
    <row r="72" spans="1:28" x14ac:dyDescent="0.25">
      <c r="A72" s="54">
        <v>186</v>
      </c>
      <c r="B72" s="55">
        <v>1.3737790000000001</v>
      </c>
      <c r="C72" s="55">
        <v>172</v>
      </c>
      <c r="D72" s="55">
        <v>1.361</v>
      </c>
      <c r="E72" s="56">
        <v>175</v>
      </c>
      <c r="F72" s="57">
        <v>1.3674550000000001</v>
      </c>
      <c r="G72" s="54">
        <v>186</v>
      </c>
      <c r="H72" s="55">
        <v>1.3962730000000001</v>
      </c>
      <c r="I72" s="55">
        <f t="shared" si="3"/>
        <v>179</v>
      </c>
      <c r="J72" s="55">
        <v>1.3879999999999999</v>
      </c>
      <c r="K72" s="55">
        <f t="shared" si="4"/>
        <v>185</v>
      </c>
      <c r="L72" s="57">
        <v>1.3959360000000001</v>
      </c>
      <c r="M72" s="54">
        <v>186</v>
      </c>
      <c r="N72" s="55">
        <v>1.344012</v>
      </c>
      <c r="O72" s="56">
        <v>186</v>
      </c>
      <c r="P72" s="55">
        <v>1.3419939999999999</v>
      </c>
      <c r="Q72" s="55">
        <v>184</v>
      </c>
      <c r="R72" s="57">
        <v>1.3420179999999999</v>
      </c>
      <c r="S72" s="14"/>
      <c r="T72" s="14"/>
      <c r="U72" s="14"/>
      <c r="V72" s="8" cm="1">
        <f t="array" ref="V7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71)+1),6),"")</f>
        <v>0.192437</v>
      </c>
      <c r="W72" s="9">
        <f t="shared" si="5"/>
        <v>3154.9529324254113</v>
      </c>
      <c r="Y72" s="30">
        <v>0.181891</v>
      </c>
      <c r="Z72" s="15"/>
      <c r="AA72" s="16"/>
      <c r="AB72" s="23">
        <v>1028516.4644444449</v>
      </c>
    </row>
    <row r="73" spans="1:28" x14ac:dyDescent="0.25">
      <c r="A73" s="54">
        <v>185</v>
      </c>
      <c r="B73" s="55">
        <v>1.3690720000000001</v>
      </c>
      <c r="C73" s="55">
        <v>171</v>
      </c>
      <c r="D73" s="55">
        <v>1.359</v>
      </c>
      <c r="E73" s="56">
        <v>173</v>
      </c>
      <c r="F73" s="57">
        <v>1.3643749999999999</v>
      </c>
      <c r="G73" s="54">
        <v>185</v>
      </c>
      <c r="H73" s="55">
        <v>1.3939999999999999</v>
      </c>
      <c r="I73" s="55">
        <f t="shared" si="3"/>
        <v>178</v>
      </c>
      <c r="J73" s="55">
        <v>1.385996</v>
      </c>
      <c r="K73" s="55">
        <f t="shared" si="4"/>
        <v>184</v>
      </c>
      <c r="L73" s="57">
        <v>1.3939919999999999</v>
      </c>
      <c r="M73" s="54">
        <v>185</v>
      </c>
      <c r="N73" s="55">
        <v>1.3419939999999999</v>
      </c>
      <c r="O73" s="56">
        <v>185</v>
      </c>
      <c r="P73" s="55">
        <v>1.332238</v>
      </c>
      <c r="Q73" s="55">
        <v>183</v>
      </c>
      <c r="R73" s="57">
        <v>1.3339080000000001</v>
      </c>
      <c r="S73" s="14"/>
      <c r="T73" s="14"/>
      <c r="U73" s="14"/>
      <c r="V73" s="8" cm="1">
        <f t="array" ref="V7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72)+1),6),"")</f>
        <v>0.200547</v>
      </c>
      <c r="W73" s="9">
        <f t="shared" si="5"/>
        <v>3287.9142043324255</v>
      </c>
      <c r="Y73" s="30">
        <v>0.18585299999999999</v>
      </c>
      <c r="Z73" s="15"/>
      <c r="AA73" s="16"/>
      <c r="AB73" s="23">
        <v>1041005.2488888893</v>
      </c>
    </row>
    <row r="74" spans="1:28" x14ac:dyDescent="0.25">
      <c r="A74" s="54">
        <v>184</v>
      </c>
      <c r="B74" s="55">
        <v>1.3670180000000001</v>
      </c>
      <c r="C74" s="55">
        <v>170</v>
      </c>
      <c r="D74" s="55">
        <v>1.355</v>
      </c>
      <c r="E74" s="56">
        <v>173</v>
      </c>
      <c r="F74" s="57">
        <v>1.3610230000000001</v>
      </c>
      <c r="G74" s="54">
        <v>184</v>
      </c>
      <c r="H74" s="55">
        <v>1.3912599999999999</v>
      </c>
      <c r="I74" s="55">
        <f t="shared" si="3"/>
        <v>177</v>
      </c>
      <c r="J74" s="55">
        <v>1.3839999999999999</v>
      </c>
      <c r="K74" s="55">
        <f t="shared" si="4"/>
        <v>183</v>
      </c>
      <c r="L74" s="57">
        <v>1.3879999999999999</v>
      </c>
      <c r="M74" s="54">
        <v>184</v>
      </c>
      <c r="N74" s="55">
        <v>1.3330630000000001</v>
      </c>
      <c r="O74" s="56">
        <v>184</v>
      </c>
      <c r="P74" s="55">
        <v>1.33</v>
      </c>
      <c r="Q74" s="55">
        <v>182</v>
      </c>
      <c r="R74" s="57">
        <v>1.3299879999999999</v>
      </c>
      <c r="S74" s="14"/>
      <c r="T74" s="14"/>
      <c r="U74" s="14"/>
      <c r="V74" s="8" cm="1">
        <f t="array" ref="V7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73)+1),6),"")</f>
        <v>0.20446700000000001</v>
      </c>
      <c r="W74" s="9">
        <f t="shared" si="5"/>
        <v>3352.1815515427211</v>
      </c>
      <c r="Y74" s="30">
        <v>0.18815000000000001</v>
      </c>
      <c r="Z74" s="15"/>
      <c r="AA74" s="16"/>
      <c r="AB74" s="23">
        <v>1053494.0333333337</v>
      </c>
    </row>
    <row r="75" spans="1:28" x14ac:dyDescent="0.25">
      <c r="A75" s="54">
        <v>183</v>
      </c>
      <c r="B75" s="55">
        <v>1.3655740000000001</v>
      </c>
      <c r="C75" s="55">
        <v>169</v>
      </c>
      <c r="D75" s="55">
        <v>1.353</v>
      </c>
      <c r="E75" s="56">
        <v>172</v>
      </c>
      <c r="F75" s="57">
        <v>1.359</v>
      </c>
      <c r="G75" s="54">
        <v>183</v>
      </c>
      <c r="H75" s="55">
        <v>1.3860269999999999</v>
      </c>
      <c r="I75" s="55">
        <f t="shared" si="3"/>
        <v>176</v>
      </c>
      <c r="J75" s="55">
        <v>1.3797969999999999</v>
      </c>
      <c r="K75" s="55">
        <f t="shared" si="4"/>
        <v>182</v>
      </c>
      <c r="L75" s="57">
        <v>1.3859999999999999</v>
      </c>
      <c r="M75" s="54">
        <v>183</v>
      </c>
      <c r="N75" s="55">
        <v>1.329996</v>
      </c>
      <c r="O75" s="56">
        <v>183</v>
      </c>
      <c r="P75" s="55">
        <v>1.3259749999999999</v>
      </c>
      <c r="Q75" s="55">
        <v>181</v>
      </c>
      <c r="R75" s="57">
        <v>1.3260000000000001</v>
      </c>
      <c r="S75" s="14"/>
      <c r="T75" s="14"/>
      <c r="U75" s="14"/>
      <c r="V75" s="8" cm="1">
        <f t="array" ref="V7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74)+1),6),"")</f>
        <v>0.208455</v>
      </c>
      <c r="W75" s="9">
        <f t="shared" si="5"/>
        <v>3417.5637404903378</v>
      </c>
      <c r="Y75" s="30">
        <v>0.19009899999999999</v>
      </c>
      <c r="Z75" s="15"/>
      <c r="AA75" s="16"/>
      <c r="AB75" s="23">
        <v>1065982.817777778</v>
      </c>
    </row>
    <row r="76" spans="1:28" x14ac:dyDescent="0.25">
      <c r="A76" s="54">
        <v>182</v>
      </c>
      <c r="B76" s="55">
        <v>1.363</v>
      </c>
      <c r="C76" s="55">
        <v>168</v>
      </c>
      <c r="D76" s="55">
        <v>1.3488359999999999</v>
      </c>
      <c r="E76" s="56">
        <v>171</v>
      </c>
      <c r="F76" s="57">
        <v>1.355</v>
      </c>
      <c r="G76" s="54">
        <v>182</v>
      </c>
      <c r="H76" s="55">
        <v>1.384209</v>
      </c>
      <c r="I76" s="55">
        <f t="shared" si="3"/>
        <v>175</v>
      </c>
      <c r="J76" s="55">
        <v>1.377783</v>
      </c>
      <c r="K76" s="55">
        <f t="shared" si="4"/>
        <v>181</v>
      </c>
      <c r="L76" s="57">
        <v>1.3839999999999999</v>
      </c>
      <c r="M76" s="54">
        <v>182</v>
      </c>
      <c r="N76" s="55">
        <v>1.325998</v>
      </c>
      <c r="O76" s="56">
        <v>182</v>
      </c>
      <c r="P76" s="55">
        <v>1.323631</v>
      </c>
      <c r="Q76" s="55">
        <v>180</v>
      </c>
      <c r="R76" s="57">
        <v>1.3239609999999999</v>
      </c>
      <c r="S76" s="14"/>
      <c r="T76" s="14"/>
      <c r="U76" s="14"/>
      <c r="V76" s="8" cm="1">
        <f t="array" ref="V7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75)+1),6),"")</f>
        <v>0.21049399999999999</v>
      </c>
      <c r="W76" s="9">
        <f t="shared" si="5"/>
        <v>3450.9925978785495</v>
      </c>
      <c r="Y76" s="30">
        <v>0.192352</v>
      </c>
      <c r="Z76" s="15"/>
      <c r="AA76" s="16"/>
      <c r="AB76" s="23">
        <v>1078471.6022222224</v>
      </c>
    </row>
    <row r="77" spans="1:28" x14ac:dyDescent="0.25">
      <c r="A77" s="54">
        <v>181</v>
      </c>
      <c r="B77" s="55">
        <v>1.3592709999999999</v>
      </c>
      <c r="C77" s="55">
        <v>167</v>
      </c>
      <c r="D77" s="55">
        <v>1.3465180000000001</v>
      </c>
      <c r="E77" s="56">
        <v>170</v>
      </c>
      <c r="F77" s="57">
        <v>1.353</v>
      </c>
      <c r="G77" s="54">
        <v>181</v>
      </c>
      <c r="H77" s="55">
        <v>1.38</v>
      </c>
      <c r="I77" s="55">
        <f t="shared" si="3"/>
        <v>174</v>
      </c>
      <c r="J77" s="55">
        <v>1.3759570000000001</v>
      </c>
      <c r="K77" s="55">
        <f t="shared" si="4"/>
        <v>180</v>
      </c>
      <c r="L77" s="57">
        <v>1.3797969999999999</v>
      </c>
      <c r="M77" s="54">
        <v>181</v>
      </c>
      <c r="N77" s="55">
        <v>1.3239920000000001</v>
      </c>
      <c r="O77" s="56">
        <v>181</v>
      </c>
      <c r="P77" s="55">
        <v>1.3215589999999999</v>
      </c>
      <c r="Q77" s="55">
        <v>179</v>
      </c>
      <c r="R77" s="57">
        <v>1.3220000000000001</v>
      </c>
      <c r="S77" s="14"/>
      <c r="T77" s="14"/>
      <c r="U77" s="14"/>
      <c r="V77" s="8" cm="1">
        <f t="array" ref="V7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76)+1),6),"")</f>
        <v>0.212455</v>
      </c>
      <c r="W77" s="9">
        <f t="shared" si="5"/>
        <v>3483.1426662151289</v>
      </c>
      <c r="Y77" s="30">
        <v>0.19617000000000001</v>
      </c>
      <c r="Z77" s="15"/>
      <c r="AA77" s="16"/>
      <c r="AB77" s="23">
        <v>1090960.3866666667</v>
      </c>
    </row>
    <row r="78" spans="1:28" x14ac:dyDescent="0.25">
      <c r="A78" s="54">
        <v>180</v>
      </c>
      <c r="B78" s="55">
        <v>1.357734</v>
      </c>
      <c r="C78" s="55">
        <v>166</v>
      </c>
      <c r="D78" s="55">
        <v>1.3359300000000001</v>
      </c>
      <c r="E78" s="56">
        <v>169</v>
      </c>
      <c r="F78" s="57">
        <v>1.348395</v>
      </c>
      <c r="G78" s="54">
        <v>180</v>
      </c>
      <c r="H78" s="55">
        <v>1.377996</v>
      </c>
      <c r="I78" s="55">
        <f t="shared" si="3"/>
        <v>173</v>
      </c>
      <c r="J78" s="55">
        <v>1.3733550000000001</v>
      </c>
      <c r="K78" s="55">
        <f t="shared" si="4"/>
        <v>179</v>
      </c>
      <c r="L78" s="57">
        <v>1.3765210000000001</v>
      </c>
      <c r="M78" s="54">
        <v>180</v>
      </c>
      <c r="N78" s="55">
        <v>1.3219959999999999</v>
      </c>
      <c r="O78" s="56">
        <v>180</v>
      </c>
      <c r="P78" s="55">
        <v>1.3196429999999999</v>
      </c>
      <c r="Q78" s="55">
        <v>178</v>
      </c>
      <c r="R78" s="57">
        <v>1.3199879999999999</v>
      </c>
      <c r="S78" s="14"/>
      <c r="T78" s="14"/>
      <c r="U78" s="14"/>
      <c r="V78" s="8" cm="1">
        <f t="array" ref="V7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77)+1),6),"")</f>
        <v>0.21446699999999999</v>
      </c>
      <c r="W78" s="9">
        <f t="shared" si="5"/>
        <v>3516.1288658546987</v>
      </c>
      <c r="Y78" s="30">
        <v>0.19848099999999999</v>
      </c>
      <c r="Z78" s="15"/>
      <c r="AA78" s="16"/>
      <c r="AB78" s="23">
        <v>1103449.1711111111</v>
      </c>
    </row>
    <row r="79" spans="1:28" x14ac:dyDescent="0.25">
      <c r="A79" s="54">
        <v>179</v>
      </c>
      <c r="B79" s="55">
        <v>1.354617</v>
      </c>
      <c r="C79" s="55">
        <v>165</v>
      </c>
      <c r="D79" s="55">
        <v>1.3349139999999999</v>
      </c>
      <c r="E79" s="56">
        <v>168</v>
      </c>
      <c r="F79" s="57">
        <v>1.345197</v>
      </c>
      <c r="G79" s="54">
        <v>179</v>
      </c>
      <c r="H79" s="55">
        <v>1.375996</v>
      </c>
      <c r="I79" s="55">
        <f t="shared" si="3"/>
        <v>172</v>
      </c>
      <c r="J79" s="55">
        <v>1.36958</v>
      </c>
      <c r="K79" s="55">
        <f t="shared" si="4"/>
        <v>178</v>
      </c>
      <c r="L79" s="57">
        <v>1.3748400000000001</v>
      </c>
      <c r="M79" s="54">
        <v>179</v>
      </c>
      <c r="N79" s="55">
        <v>1.319801</v>
      </c>
      <c r="O79" s="56">
        <v>179</v>
      </c>
      <c r="P79" s="55">
        <v>1.315896</v>
      </c>
      <c r="Q79" s="55">
        <v>177</v>
      </c>
      <c r="R79" s="57">
        <v>1.3160350000000001</v>
      </c>
      <c r="S79" s="14"/>
      <c r="T79" s="14"/>
      <c r="U79" s="14"/>
      <c r="V79" s="8" cm="1">
        <f t="array" ref="V7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78)+1),6),"")</f>
        <v>0.21842</v>
      </c>
      <c r="W79" s="9">
        <f t="shared" si="5"/>
        <v>3580.9372392022237</v>
      </c>
      <c r="Y79" s="30">
        <v>0.20138200000000001</v>
      </c>
      <c r="Z79" s="15"/>
      <c r="AA79" s="16"/>
      <c r="AB79" s="23">
        <v>1115937.9555555554</v>
      </c>
    </row>
    <row r="80" spans="1:28" x14ac:dyDescent="0.25">
      <c r="A80" s="54">
        <v>178</v>
      </c>
      <c r="B80" s="55">
        <v>1.352635</v>
      </c>
      <c r="C80" s="55">
        <v>164</v>
      </c>
      <c r="D80" s="55">
        <v>1.3303590000000001</v>
      </c>
      <c r="E80" s="56">
        <v>168</v>
      </c>
      <c r="F80" s="57">
        <v>1.3366039999999999</v>
      </c>
      <c r="G80" s="54">
        <v>178</v>
      </c>
      <c r="H80" s="55">
        <v>1.3739980000000001</v>
      </c>
      <c r="I80" s="55">
        <f t="shared" si="3"/>
        <v>171</v>
      </c>
      <c r="J80" s="55">
        <v>1.365828</v>
      </c>
      <c r="K80" s="55">
        <f t="shared" si="4"/>
        <v>177</v>
      </c>
      <c r="L80" s="57">
        <v>1.370422</v>
      </c>
      <c r="M80" s="54">
        <v>178</v>
      </c>
      <c r="N80" s="55">
        <v>1.3158540000000001</v>
      </c>
      <c r="O80" s="56">
        <v>178</v>
      </c>
      <c r="P80" s="55">
        <v>1.311998</v>
      </c>
      <c r="Q80" s="55">
        <v>176</v>
      </c>
      <c r="R80" s="57">
        <v>1.3120019999999999</v>
      </c>
      <c r="S80" s="14"/>
      <c r="T80" s="14"/>
      <c r="U80" s="14"/>
      <c r="V80" s="8" cm="1">
        <f t="array" ref="V8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79)+1),6),"")</f>
        <v>0.22245300000000001</v>
      </c>
      <c r="W80" s="9">
        <f t="shared" si="5"/>
        <v>3647.0571910642448</v>
      </c>
      <c r="Y80" s="30">
        <v>0.203539</v>
      </c>
      <c r="Z80" s="15">
        <v>35.5</v>
      </c>
      <c r="AA80" s="16">
        <v>1128426.74</v>
      </c>
      <c r="AB80" s="23">
        <v>1128426.7399999998</v>
      </c>
    </row>
    <row r="81" spans="1:28" x14ac:dyDescent="0.25">
      <c r="A81" s="54">
        <v>177</v>
      </c>
      <c r="B81" s="55">
        <v>1.34701</v>
      </c>
      <c r="C81" s="55">
        <v>163</v>
      </c>
      <c r="D81" s="55">
        <v>1.327949</v>
      </c>
      <c r="E81" s="56">
        <v>166</v>
      </c>
      <c r="F81" s="57">
        <v>1.3320700000000001</v>
      </c>
      <c r="G81" s="54">
        <v>177</v>
      </c>
      <c r="H81" s="55">
        <v>1.369758</v>
      </c>
      <c r="I81" s="55">
        <f t="shared" si="3"/>
        <v>170</v>
      </c>
      <c r="J81" s="55">
        <v>1.36391</v>
      </c>
      <c r="K81" s="55">
        <f t="shared" si="4"/>
        <v>176</v>
      </c>
      <c r="L81" s="57">
        <v>1.3680270000000001</v>
      </c>
      <c r="M81" s="54">
        <v>177</v>
      </c>
      <c r="N81" s="55">
        <v>1.3120000000000001</v>
      </c>
      <c r="O81" s="56">
        <v>177</v>
      </c>
      <c r="P81" s="55">
        <v>1.309982</v>
      </c>
      <c r="Q81" s="55">
        <v>175</v>
      </c>
      <c r="R81" s="57">
        <v>1.31</v>
      </c>
      <c r="S81" s="14"/>
      <c r="T81" s="14"/>
      <c r="U81" s="14"/>
      <c r="V81" s="8" cm="1">
        <f t="array" ref="V8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80)+1),6),"")</f>
        <v>0.22445499999999999</v>
      </c>
      <c r="W81" s="9">
        <f t="shared" si="5"/>
        <v>3679.8794433895023</v>
      </c>
      <c r="Y81" s="30">
        <v>0.20783299999999999</v>
      </c>
      <c r="Z81" s="15"/>
      <c r="AA81" s="16"/>
      <c r="AB81" s="23">
        <v>1139634.0222222221</v>
      </c>
    </row>
    <row r="82" spans="1:28" x14ac:dyDescent="0.25">
      <c r="A82" s="54">
        <v>176</v>
      </c>
      <c r="B82" s="55">
        <v>1.345229</v>
      </c>
      <c r="C82" s="55">
        <v>162</v>
      </c>
      <c r="D82" s="55">
        <v>1.325029</v>
      </c>
      <c r="E82" s="56">
        <v>165</v>
      </c>
      <c r="F82" s="57">
        <v>1.329</v>
      </c>
      <c r="G82" s="54">
        <v>176</v>
      </c>
      <c r="H82" s="55">
        <v>1.367955</v>
      </c>
      <c r="I82" s="55">
        <f t="shared" si="3"/>
        <v>169</v>
      </c>
      <c r="J82" s="55">
        <v>1.360506</v>
      </c>
      <c r="K82" s="55">
        <f t="shared" si="4"/>
        <v>175</v>
      </c>
      <c r="L82" s="57">
        <v>1.3640000000000001</v>
      </c>
      <c r="M82" s="54">
        <v>176</v>
      </c>
      <c r="N82" s="55">
        <v>1.3099959999999999</v>
      </c>
      <c r="O82" s="56">
        <v>176</v>
      </c>
      <c r="P82" s="55">
        <v>1.3079959999999999</v>
      </c>
      <c r="Q82" s="55">
        <v>174</v>
      </c>
      <c r="R82" s="57">
        <v>1.3079940000000001</v>
      </c>
      <c r="S82" s="14"/>
      <c r="T82" s="14"/>
      <c r="U82" s="14"/>
      <c r="V82" s="8" cm="1">
        <f t="array" ref="V8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81)+1),6),"")</f>
        <v>0.226461</v>
      </c>
      <c r="W82" s="9">
        <f t="shared" si="5"/>
        <v>3712.7672746404851</v>
      </c>
      <c r="Y82" s="30">
        <v>0.210198</v>
      </c>
      <c r="Z82" s="15"/>
      <c r="AA82" s="16"/>
      <c r="AB82" s="23">
        <v>1150841.3044444444</v>
      </c>
    </row>
    <row r="83" spans="1:28" x14ac:dyDescent="0.25">
      <c r="A83" s="54">
        <v>175</v>
      </c>
      <c r="B83" s="55">
        <v>1.335002</v>
      </c>
      <c r="C83" s="55">
        <v>161</v>
      </c>
      <c r="D83" s="55">
        <v>1.3243849999999999</v>
      </c>
      <c r="E83" s="56">
        <v>163</v>
      </c>
      <c r="F83" s="57">
        <v>1.326986</v>
      </c>
      <c r="G83" s="54">
        <v>175</v>
      </c>
      <c r="H83" s="55">
        <v>1.3625039999999999</v>
      </c>
      <c r="I83" s="55">
        <f t="shared" si="3"/>
        <v>168</v>
      </c>
      <c r="J83" s="55">
        <v>1.3575660000000001</v>
      </c>
      <c r="K83" s="55">
        <f t="shared" si="4"/>
        <v>174</v>
      </c>
      <c r="L83" s="57">
        <v>1.3620000000000001</v>
      </c>
      <c r="M83" s="54">
        <v>175</v>
      </c>
      <c r="N83" s="55">
        <v>1.3079879999999999</v>
      </c>
      <c r="O83" s="56">
        <v>175</v>
      </c>
      <c r="P83" s="55">
        <v>1.3029379999999999</v>
      </c>
      <c r="Q83" s="55">
        <v>173</v>
      </c>
      <c r="R83" s="57">
        <v>1.303348</v>
      </c>
      <c r="S83" s="14"/>
      <c r="T83" s="14"/>
      <c r="U83" s="14"/>
      <c r="V83" s="8" cm="1">
        <f t="array" ref="V8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82)+1),6),"")</f>
        <v>0.23110700000000001</v>
      </c>
      <c r="W83" s="9">
        <f t="shared" si="5"/>
        <v>3788.9371968698301</v>
      </c>
      <c r="Y83" s="30">
        <v>0.215395</v>
      </c>
      <c r="Z83" s="15"/>
      <c r="AA83" s="16"/>
      <c r="AB83" s="23">
        <v>1162048.5866666667</v>
      </c>
    </row>
    <row r="84" spans="1:28" x14ac:dyDescent="0.25">
      <c r="A84" s="54">
        <v>174</v>
      </c>
      <c r="B84" s="55">
        <v>1.3310900000000001</v>
      </c>
      <c r="C84" s="55">
        <v>160</v>
      </c>
      <c r="D84" s="55">
        <v>1.317631</v>
      </c>
      <c r="E84" s="56">
        <v>163</v>
      </c>
      <c r="F84" s="57">
        <v>1.3249919999999999</v>
      </c>
      <c r="G84" s="54">
        <v>174</v>
      </c>
      <c r="H84" s="55">
        <v>1.36043</v>
      </c>
      <c r="I84" s="55">
        <f t="shared" si="3"/>
        <v>167</v>
      </c>
      <c r="J84" s="55">
        <v>1.353998</v>
      </c>
      <c r="K84" s="55">
        <f t="shared" si="4"/>
        <v>173</v>
      </c>
      <c r="L84" s="57">
        <v>1.359996</v>
      </c>
      <c r="M84" s="54">
        <v>174</v>
      </c>
      <c r="N84" s="55">
        <v>1.302719</v>
      </c>
      <c r="O84" s="56">
        <v>174</v>
      </c>
      <c r="P84" s="55">
        <v>1.300119</v>
      </c>
      <c r="Q84" s="55">
        <v>172</v>
      </c>
      <c r="R84" s="57">
        <v>1.300125</v>
      </c>
      <c r="S84" s="14"/>
      <c r="T84" s="14"/>
      <c r="U84" s="14"/>
      <c r="V84" s="8" cm="1">
        <f t="array" ref="V8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83)+1),6),"")</f>
        <v>0.23433000000000001</v>
      </c>
      <c r="W84" s="9">
        <f t="shared" si="5"/>
        <v>3841.7774162725809</v>
      </c>
      <c r="Y84" s="30">
        <v>0.21720400000000001</v>
      </c>
      <c r="Z84" s="15"/>
      <c r="AA84" s="16"/>
      <c r="AB84" s="23">
        <v>1173255.868888889</v>
      </c>
    </row>
    <row r="85" spans="1:28" x14ac:dyDescent="0.25">
      <c r="A85" s="54">
        <v>173</v>
      </c>
      <c r="B85" s="55">
        <v>1.329</v>
      </c>
      <c r="C85" s="55">
        <v>159</v>
      </c>
      <c r="D85" s="55">
        <v>1.3169999999999999</v>
      </c>
      <c r="E85" s="56">
        <v>161</v>
      </c>
      <c r="F85" s="57">
        <v>1.3209960000000001</v>
      </c>
      <c r="G85" s="54">
        <v>173</v>
      </c>
      <c r="H85" s="55">
        <v>1.3560000000000001</v>
      </c>
      <c r="I85" s="55">
        <f t="shared" si="3"/>
        <v>166</v>
      </c>
      <c r="J85" s="55">
        <v>1.3499749999999999</v>
      </c>
      <c r="K85" s="55">
        <f t="shared" si="4"/>
        <v>172</v>
      </c>
      <c r="L85" s="57">
        <v>1.3559939999999999</v>
      </c>
      <c r="M85" s="54">
        <v>173</v>
      </c>
      <c r="N85" s="55">
        <v>1.3001309999999999</v>
      </c>
      <c r="O85" s="56">
        <v>173</v>
      </c>
      <c r="P85" s="55">
        <v>1.2980119999999999</v>
      </c>
      <c r="Q85" s="55">
        <v>171</v>
      </c>
      <c r="R85" s="57">
        <v>1.299803</v>
      </c>
      <c r="S85" s="14"/>
      <c r="T85" s="14"/>
      <c r="U85" s="14"/>
      <c r="V85" s="8" cm="1">
        <f t="array" ref="V8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84)+1),6),"")</f>
        <v>0.234652</v>
      </c>
      <c r="W85" s="9">
        <f t="shared" si="5"/>
        <v>3847.0565197934261</v>
      </c>
      <c r="Y85" s="30">
        <v>0.22142500000000001</v>
      </c>
      <c r="Z85" s="15"/>
      <c r="AA85" s="16"/>
      <c r="AB85" s="23">
        <v>1184463.1511111113</v>
      </c>
    </row>
    <row r="86" spans="1:28" x14ac:dyDescent="0.25">
      <c r="A86" s="54">
        <v>172</v>
      </c>
      <c r="B86" s="55">
        <v>1.327</v>
      </c>
      <c r="C86" s="55">
        <v>158</v>
      </c>
      <c r="D86" s="55">
        <v>1.3134410000000001</v>
      </c>
      <c r="E86" s="56">
        <v>161</v>
      </c>
      <c r="F86" s="57">
        <v>1.3171520000000001</v>
      </c>
      <c r="G86" s="54">
        <v>172</v>
      </c>
      <c r="H86" s="55">
        <v>1.3540019999999999</v>
      </c>
      <c r="I86" s="55">
        <f t="shared" si="3"/>
        <v>165</v>
      </c>
      <c r="J86" s="55">
        <v>1.3478540000000001</v>
      </c>
      <c r="K86" s="55">
        <f t="shared" si="4"/>
        <v>171</v>
      </c>
      <c r="L86" s="57">
        <v>1.3539939999999999</v>
      </c>
      <c r="M86" s="54">
        <v>172</v>
      </c>
      <c r="N86" s="55">
        <v>1.298195</v>
      </c>
      <c r="O86" s="56">
        <v>172</v>
      </c>
      <c r="P86" s="55">
        <v>1.295326</v>
      </c>
      <c r="Q86" s="55">
        <v>170</v>
      </c>
      <c r="R86" s="57">
        <v>1.2975369999999999</v>
      </c>
      <c r="S86" s="14"/>
      <c r="T86" s="14"/>
      <c r="U86" s="14"/>
      <c r="V86" s="8" cm="1">
        <f t="array" ref="V8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85)+1),6),"")</f>
        <v>0.23691799999999999</v>
      </c>
      <c r="W86" s="9">
        <f t="shared" si="5"/>
        <v>3884.2069812165205</v>
      </c>
      <c r="Y86" s="30">
        <v>0.22378400000000001</v>
      </c>
      <c r="Z86" s="15"/>
      <c r="AA86" s="16"/>
      <c r="AB86" s="23">
        <v>1195670.4333333336</v>
      </c>
    </row>
    <row r="87" spans="1:28" x14ac:dyDescent="0.25">
      <c r="A87" s="54">
        <v>171</v>
      </c>
      <c r="B87" s="55">
        <v>1.3249960000000001</v>
      </c>
      <c r="C87" s="55">
        <v>157</v>
      </c>
      <c r="D87" s="55">
        <v>1.312916</v>
      </c>
      <c r="E87" s="56">
        <v>159</v>
      </c>
      <c r="F87" s="57">
        <v>1.315002</v>
      </c>
      <c r="G87" s="54">
        <v>171</v>
      </c>
      <c r="H87" s="55">
        <v>1.350006</v>
      </c>
      <c r="I87" s="55">
        <f t="shared" si="3"/>
        <v>164</v>
      </c>
      <c r="J87" s="55">
        <v>1.338033</v>
      </c>
      <c r="K87" s="55">
        <f t="shared" si="4"/>
        <v>170</v>
      </c>
      <c r="L87" s="57">
        <v>1.3496250000000001</v>
      </c>
      <c r="M87" s="54">
        <v>171</v>
      </c>
      <c r="N87" s="55">
        <v>1.294303</v>
      </c>
      <c r="O87" s="56">
        <v>171</v>
      </c>
      <c r="P87" s="55">
        <v>1.293498</v>
      </c>
      <c r="Q87" s="55">
        <v>169</v>
      </c>
      <c r="R87" s="57">
        <v>1.2939590000000001</v>
      </c>
      <c r="S87" s="14"/>
      <c r="T87" s="14"/>
      <c r="U87" s="14"/>
      <c r="V87" s="8" cm="1">
        <f t="array" ref="V8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86)+1),6),"")</f>
        <v>0.24049599999999999</v>
      </c>
      <c r="W87" s="9">
        <f t="shared" si="5"/>
        <v>3942.8673302773459</v>
      </c>
      <c r="Y87" s="30">
        <v>0.22648399999999999</v>
      </c>
      <c r="Z87" s="15"/>
      <c r="AA87" s="16"/>
      <c r="AB87" s="23">
        <v>1206877.7155555559</v>
      </c>
    </row>
    <row r="88" spans="1:28" x14ac:dyDescent="0.25">
      <c r="A88" s="54">
        <v>170</v>
      </c>
      <c r="B88" s="55">
        <v>1.3212950000000001</v>
      </c>
      <c r="C88" s="55">
        <v>156</v>
      </c>
      <c r="D88" s="55">
        <v>1.3069999999999999</v>
      </c>
      <c r="E88" s="56">
        <v>158</v>
      </c>
      <c r="F88" s="57">
        <v>1.3129999999999999</v>
      </c>
      <c r="G88" s="54">
        <v>170</v>
      </c>
      <c r="H88" s="55">
        <v>1.3480000000000001</v>
      </c>
      <c r="I88" s="55">
        <f t="shared" si="3"/>
        <v>163</v>
      </c>
      <c r="J88" s="55">
        <v>1.335223</v>
      </c>
      <c r="K88" s="55">
        <f t="shared" si="4"/>
        <v>169</v>
      </c>
      <c r="L88" s="57">
        <v>1.346754</v>
      </c>
      <c r="M88" s="54">
        <v>170</v>
      </c>
      <c r="N88" s="55">
        <v>1.2915410000000001</v>
      </c>
      <c r="O88" s="56">
        <v>170</v>
      </c>
      <c r="P88" s="55">
        <v>1.289979</v>
      </c>
      <c r="Q88" s="55">
        <v>168</v>
      </c>
      <c r="R88" s="57">
        <v>1.289971</v>
      </c>
      <c r="S88" s="14"/>
      <c r="T88" s="14"/>
      <c r="U88" s="14"/>
      <c r="V88" s="8" cm="1">
        <f t="array" ref="V8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87)+1),6),"")</f>
        <v>0.24448400000000001</v>
      </c>
      <c r="W88" s="9">
        <f t="shared" si="5"/>
        <v>4008.249519224963</v>
      </c>
      <c r="Y88" s="30">
        <v>0.22878599999999999</v>
      </c>
      <c r="Z88" s="15"/>
      <c r="AA88" s="16"/>
      <c r="AB88" s="23">
        <v>1218084.9977777782</v>
      </c>
    </row>
    <row r="89" spans="1:28" x14ac:dyDescent="0.25">
      <c r="A89" s="54">
        <v>169</v>
      </c>
      <c r="B89" s="55">
        <v>1.3169999999999999</v>
      </c>
      <c r="C89" s="55">
        <v>155</v>
      </c>
      <c r="D89" s="55">
        <v>1.3050310000000001</v>
      </c>
      <c r="E89" s="56">
        <v>157</v>
      </c>
      <c r="F89" s="57">
        <v>1.310414</v>
      </c>
      <c r="G89" s="54">
        <v>169</v>
      </c>
      <c r="H89" s="55">
        <v>1.33809</v>
      </c>
      <c r="I89" s="55">
        <f t="shared" si="3"/>
        <v>162</v>
      </c>
      <c r="J89" s="55">
        <v>1.33185</v>
      </c>
      <c r="K89" s="55">
        <f t="shared" si="4"/>
        <v>168</v>
      </c>
      <c r="L89" s="57">
        <v>1.3377870000000001</v>
      </c>
      <c r="M89" s="54">
        <v>169</v>
      </c>
      <c r="N89" s="55">
        <v>1.2883070000000001</v>
      </c>
      <c r="O89" s="56">
        <v>169</v>
      </c>
      <c r="P89" s="55">
        <v>1.287971</v>
      </c>
      <c r="Q89" s="55">
        <v>167</v>
      </c>
      <c r="R89" s="57">
        <v>1.2876799999999999</v>
      </c>
      <c r="S89" s="14"/>
      <c r="T89" s="14"/>
      <c r="U89" s="14"/>
      <c r="V89" s="8" cm="1">
        <f t="array" ref="V8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88)+1),6),"")</f>
        <v>0.24677499999999999</v>
      </c>
      <c r="W89" s="9">
        <f t="shared" si="5"/>
        <v>4045.8098489338372</v>
      </c>
      <c r="Y89" s="30">
        <v>0.232907</v>
      </c>
      <c r="Z89" s="15">
        <v>35</v>
      </c>
      <c r="AA89" s="16">
        <v>1229292.28</v>
      </c>
      <c r="AB89" s="23">
        <v>1229292.2800000005</v>
      </c>
    </row>
    <row r="90" spans="1:28" x14ac:dyDescent="0.25">
      <c r="A90" s="54">
        <v>168</v>
      </c>
      <c r="B90" s="55">
        <v>1.3149999999999999</v>
      </c>
      <c r="C90" s="55">
        <v>154</v>
      </c>
      <c r="D90" s="55">
        <v>1.3029999999999999</v>
      </c>
      <c r="E90" s="56">
        <v>156</v>
      </c>
      <c r="F90" s="57">
        <v>1.305131</v>
      </c>
      <c r="G90" s="54">
        <v>168</v>
      </c>
      <c r="H90" s="55">
        <v>1.3360000000000001</v>
      </c>
      <c r="I90" s="55">
        <f t="shared" si="3"/>
        <v>161</v>
      </c>
      <c r="J90" s="55">
        <v>1.3282830000000001</v>
      </c>
      <c r="K90" s="55">
        <f t="shared" si="4"/>
        <v>167</v>
      </c>
      <c r="L90" s="57">
        <v>1.3320000000000001</v>
      </c>
      <c r="M90" s="54">
        <v>168</v>
      </c>
      <c r="N90" s="55">
        <v>1.287258</v>
      </c>
      <c r="O90" s="56">
        <v>168</v>
      </c>
      <c r="P90" s="55">
        <v>1.2848360000000001</v>
      </c>
      <c r="Q90" s="55">
        <v>166</v>
      </c>
      <c r="R90" s="57">
        <v>1.2840039999999999</v>
      </c>
      <c r="S90" s="14"/>
      <c r="T90" s="14"/>
      <c r="U90" s="14"/>
      <c r="V90" s="8" cm="1">
        <f t="array" ref="V9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89)+1),6),"")</f>
        <v>0.25045099999999998</v>
      </c>
      <c r="W90" s="9">
        <f t="shared" si="5"/>
        <v>4106.0768816749196</v>
      </c>
      <c r="Y90" s="30">
        <v>0.235046</v>
      </c>
      <c r="Z90" s="15"/>
      <c r="AA90" s="16"/>
      <c r="AB90" s="23">
        <v>1242578.7100000004</v>
      </c>
    </row>
    <row r="91" spans="1:28" x14ac:dyDescent="0.25">
      <c r="A91" s="54">
        <v>167</v>
      </c>
      <c r="B91" s="55">
        <v>1.3130120000000001</v>
      </c>
      <c r="C91" s="55">
        <v>153</v>
      </c>
      <c r="D91" s="55">
        <v>1.301016</v>
      </c>
      <c r="E91" s="56">
        <v>155</v>
      </c>
      <c r="F91" s="57">
        <v>1.3030040000000001</v>
      </c>
      <c r="G91" s="54">
        <v>167</v>
      </c>
      <c r="H91" s="55">
        <v>1.331861</v>
      </c>
      <c r="I91" s="55">
        <f t="shared" si="3"/>
        <v>160</v>
      </c>
      <c r="J91" s="55">
        <v>1.326902</v>
      </c>
      <c r="K91" s="55">
        <f t="shared" si="4"/>
        <v>166</v>
      </c>
      <c r="L91" s="57">
        <v>1.3300019999999999</v>
      </c>
      <c r="M91" s="54">
        <v>167</v>
      </c>
      <c r="N91" s="55">
        <v>1.2840020000000001</v>
      </c>
      <c r="O91" s="56">
        <v>167</v>
      </c>
      <c r="P91" s="55">
        <v>1.282006</v>
      </c>
      <c r="Q91" s="55">
        <v>165</v>
      </c>
      <c r="R91" s="57">
        <v>1.2820309999999999</v>
      </c>
      <c r="S91" s="14"/>
      <c r="T91" s="14"/>
      <c r="U91" s="14"/>
      <c r="V91" s="8" cm="1">
        <f t="array" ref="V9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90)+1),6),"")</f>
        <v>0.25242399999999998</v>
      </c>
      <c r="W91" s="9">
        <f t="shared" si="5"/>
        <v>4138.423686788673</v>
      </c>
      <c r="Y91" s="30">
        <v>0.236926</v>
      </c>
      <c r="Z91" s="15"/>
      <c r="AA91" s="16"/>
      <c r="AB91" s="23">
        <v>1255865.1400000004</v>
      </c>
    </row>
    <row r="92" spans="1:28" x14ac:dyDescent="0.25">
      <c r="A92" s="54">
        <v>166</v>
      </c>
      <c r="B92" s="55">
        <v>1.311107</v>
      </c>
      <c r="C92" s="55">
        <v>152</v>
      </c>
      <c r="D92" s="55">
        <v>1.2956190000000001</v>
      </c>
      <c r="E92" s="56">
        <v>155</v>
      </c>
      <c r="F92" s="57">
        <v>1.3001560000000001</v>
      </c>
      <c r="G92" s="54">
        <v>166</v>
      </c>
      <c r="H92" s="55">
        <v>1.3295680000000001</v>
      </c>
      <c r="I92" s="55">
        <f t="shared" si="3"/>
        <v>159</v>
      </c>
      <c r="J92" s="55">
        <v>1.3229219999999999</v>
      </c>
      <c r="K92" s="55">
        <f t="shared" si="4"/>
        <v>165</v>
      </c>
      <c r="L92" s="57">
        <v>1.3279860000000001</v>
      </c>
      <c r="M92" s="54">
        <v>166</v>
      </c>
      <c r="N92" s="55">
        <v>1.282</v>
      </c>
      <c r="O92" s="56">
        <v>166</v>
      </c>
      <c r="P92" s="55">
        <v>1.277965</v>
      </c>
      <c r="Q92" s="55">
        <v>164</v>
      </c>
      <c r="R92" s="57">
        <v>1.2779799999999999</v>
      </c>
      <c r="S92" s="14"/>
      <c r="T92" s="14"/>
      <c r="U92" s="14"/>
      <c r="V92" s="8" cm="1">
        <f t="array" ref="V9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91)+1),6),"")</f>
        <v>0.25647500000000001</v>
      </c>
      <c r="W92" s="9">
        <f t="shared" si="5"/>
        <v>4204.8387438164564</v>
      </c>
      <c r="Y92" s="30">
        <v>0.23916100000000001</v>
      </c>
      <c r="Z92" s="15"/>
      <c r="AA92" s="16"/>
      <c r="AB92" s="23">
        <v>1269151.5700000003</v>
      </c>
    </row>
    <row r="93" spans="1:28" x14ac:dyDescent="0.25">
      <c r="A93" s="54">
        <v>165</v>
      </c>
      <c r="B93" s="55">
        <v>1.306953</v>
      </c>
      <c r="C93" s="55">
        <v>151</v>
      </c>
      <c r="D93" s="55">
        <v>1.2933809999999999</v>
      </c>
      <c r="E93" s="56">
        <v>153</v>
      </c>
      <c r="F93" s="57">
        <v>1.2963359999999999</v>
      </c>
      <c r="G93" s="54">
        <v>165</v>
      </c>
      <c r="H93" s="55">
        <v>1.3261499999999999</v>
      </c>
      <c r="I93" s="55">
        <f t="shared" si="3"/>
        <v>158</v>
      </c>
      <c r="J93" s="55">
        <v>1.3184689999999999</v>
      </c>
      <c r="K93" s="55">
        <f t="shared" si="4"/>
        <v>164</v>
      </c>
      <c r="L93" s="57">
        <v>1.325998</v>
      </c>
      <c r="M93" s="54">
        <v>165</v>
      </c>
      <c r="N93" s="55">
        <v>1.2779799999999999</v>
      </c>
      <c r="O93" s="56">
        <v>165</v>
      </c>
      <c r="P93" s="55">
        <v>1.273879</v>
      </c>
      <c r="Q93" s="55">
        <v>163</v>
      </c>
      <c r="R93" s="57">
        <v>1.2741800000000001</v>
      </c>
      <c r="S93" s="14"/>
      <c r="T93" s="14"/>
      <c r="U93" s="14"/>
      <c r="V93" s="8" cm="1">
        <f t="array" ref="V9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92)+1),6),"")</f>
        <v>0.26027499999999998</v>
      </c>
      <c r="W93" s="9">
        <f t="shared" si="5"/>
        <v>4267.1387232550069</v>
      </c>
      <c r="Y93" s="30">
        <v>0.24341299999999999</v>
      </c>
      <c r="Z93" s="15"/>
      <c r="AA93" s="16"/>
      <c r="AB93" s="23">
        <v>1282438.0000000002</v>
      </c>
    </row>
    <row r="94" spans="1:28" x14ac:dyDescent="0.25">
      <c r="A94" s="54">
        <v>164</v>
      </c>
      <c r="B94" s="55">
        <v>1.3049900000000001</v>
      </c>
      <c r="C94" s="55">
        <v>150</v>
      </c>
      <c r="D94" s="55">
        <v>1.2909999999999999</v>
      </c>
      <c r="E94" s="56">
        <v>153</v>
      </c>
      <c r="F94" s="57">
        <v>1.29301</v>
      </c>
      <c r="G94" s="54">
        <v>164</v>
      </c>
      <c r="H94" s="55">
        <v>1.324846</v>
      </c>
      <c r="I94" s="55">
        <f t="shared" si="3"/>
        <v>157</v>
      </c>
      <c r="J94" s="55">
        <v>1.316057</v>
      </c>
      <c r="K94" s="55">
        <f t="shared" si="4"/>
        <v>163</v>
      </c>
      <c r="L94" s="57">
        <v>1.3220000000000001</v>
      </c>
      <c r="M94" s="54">
        <v>164</v>
      </c>
      <c r="N94" s="55">
        <v>1.2739769999999999</v>
      </c>
      <c r="O94" s="56">
        <v>164</v>
      </c>
      <c r="P94" s="55">
        <v>1.271795</v>
      </c>
      <c r="Q94" s="55">
        <v>162</v>
      </c>
      <c r="R94" s="57">
        <v>1.27199</v>
      </c>
      <c r="S94" s="14"/>
      <c r="T94" s="14"/>
      <c r="U94" s="14"/>
      <c r="V94" s="8" cm="1">
        <f t="array" ref="V9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93)+1),6),"")</f>
        <v>0.262465</v>
      </c>
      <c r="W94" s="9">
        <f t="shared" si="5"/>
        <v>4303.043185089331</v>
      </c>
      <c r="Y94" s="30">
        <v>0.24530199999999999</v>
      </c>
      <c r="Z94" s="15"/>
      <c r="AA94" s="16"/>
      <c r="AB94" s="23">
        <v>1295724.4300000002</v>
      </c>
    </row>
    <row r="95" spans="1:28" x14ac:dyDescent="0.25">
      <c r="A95" s="54">
        <v>163</v>
      </c>
      <c r="B95" s="55">
        <v>1.302975</v>
      </c>
      <c r="C95" s="55">
        <v>149</v>
      </c>
      <c r="D95" s="55">
        <v>1.289004</v>
      </c>
      <c r="E95" s="56">
        <v>151</v>
      </c>
      <c r="F95" s="57">
        <v>1.2909999999999999</v>
      </c>
      <c r="G95" s="54">
        <v>163</v>
      </c>
      <c r="H95" s="55">
        <v>1.3206880000000001</v>
      </c>
      <c r="I95" s="55">
        <f t="shared" si="3"/>
        <v>156</v>
      </c>
      <c r="J95" s="55">
        <v>1.31409</v>
      </c>
      <c r="K95" s="55">
        <f t="shared" si="4"/>
        <v>162</v>
      </c>
      <c r="L95" s="57">
        <v>1.3180000000000001</v>
      </c>
      <c r="M95" s="54">
        <v>163</v>
      </c>
      <c r="N95" s="55">
        <v>1.2709790000000001</v>
      </c>
      <c r="O95" s="56">
        <v>163</v>
      </c>
      <c r="P95" s="55">
        <v>1.269963</v>
      </c>
      <c r="Q95" s="55">
        <v>161</v>
      </c>
      <c r="R95" s="57">
        <v>1.269998</v>
      </c>
      <c r="S95" s="14"/>
      <c r="T95" s="14"/>
      <c r="U95" s="14"/>
      <c r="V95" s="8" cm="1">
        <f t="array" ref="V9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94)+1),6),"")</f>
        <v>0.264457</v>
      </c>
      <c r="W95" s="9">
        <f t="shared" si="5"/>
        <v>4335.7014901002767</v>
      </c>
      <c r="Y95" s="30">
        <v>0.248503</v>
      </c>
      <c r="Z95" s="15"/>
      <c r="AA95" s="16"/>
      <c r="AB95" s="23">
        <v>1309010.8600000001</v>
      </c>
    </row>
    <row r="96" spans="1:28" x14ac:dyDescent="0.25">
      <c r="A96" s="54">
        <v>162</v>
      </c>
      <c r="B96" s="55">
        <v>1.299021</v>
      </c>
      <c r="C96" s="55">
        <v>148</v>
      </c>
      <c r="D96" s="55">
        <v>1.2869999999999999</v>
      </c>
      <c r="E96" s="56">
        <v>151</v>
      </c>
      <c r="F96" s="57">
        <v>1.2889999999999999</v>
      </c>
      <c r="G96" s="54">
        <v>162</v>
      </c>
      <c r="H96" s="55">
        <v>1.3179959999999999</v>
      </c>
      <c r="I96" s="55">
        <f t="shared" si="3"/>
        <v>155</v>
      </c>
      <c r="J96" s="55">
        <v>1.311844</v>
      </c>
      <c r="K96" s="55">
        <f t="shared" si="4"/>
        <v>161</v>
      </c>
      <c r="L96" s="57">
        <v>1.3160000000000001</v>
      </c>
      <c r="M96" s="54">
        <v>162</v>
      </c>
      <c r="N96" s="55">
        <v>1.2692479999999999</v>
      </c>
      <c r="O96" s="56">
        <v>162</v>
      </c>
      <c r="P96" s="55">
        <v>1.2678590000000001</v>
      </c>
      <c r="Q96" s="55">
        <v>160</v>
      </c>
      <c r="R96" s="57">
        <v>1.2678830000000001</v>
      </c>
      <c r="S96" s="14"/>
      <c r="T96" s="14"/>
      <c r="U96" s="14"/>
      <c r="V96" s="8" cm="1">
        <f t="array" ref="V9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95)+1),6),"")</f>
        <v>0.26657199999999998</v>
      </c>
      <c r="W96" s="9">
        <f t="shared" si="5"/>
        <v>4370.3763470772601</v>
      </c>
      <c r="Y96" s="30">
        <v>0.25043399999999999</v>
      </c>
      <c r="Z96" s="15"/>
      <c r="AA96" s="16"/>
      <c r="AB96" s="23">
        <v>1322297.29</v>
      </c>
    </row>
    <row r="97" spans="1:28" x14ac:dyDescent="0.25">
      <c r="A97" s="54">
        <v>161</v>
      </c>
      <c r="B97" s="55">
        <v>1.295004</v>
      </c>
      <c r="C97" s="55">
        <v>147</v>
      </c>
      <c r="D97" s="55">
        <v>1.2829550000000001</v>
      </c>
      <c r="E97" s="56">
        <v>149</v>
      </c>
      <c r="F97" s="57">
        <v>1.2869999999999999</v>
      </c>
      <c r="G97" s="54">
        <v>161</v>
      </c>
      <c r="H97" s="55">
        <v>1.314252</v>
      </c>
      <c r="I97" s="55">
        <f t="shared" si="3"/>
        <v>154</v>
      </c>
      <c r="J97" s="55">
        <v>1.3079179999999999</v>
      </c>
      <c r="K97" s="55">
        <f t="shared" si="4"/>
        <v>160</v>
      </c>
      <c r="L97" s="57">
        <v>1.3140000000000001</v>
      </c>
      <c r="M97" s="54">
        <v>161</v>
      </c>
      <c r="N97" s="55">
        <v>1.2667189999999999</v>
      </c>
      <c r="O97" s="56">
        <v>161</v>
      </c>
      <c r="P97" s="55">
        <v>1.264</v>
      </c>
      <c r="Q97" s="55">
        <v>159</v>
      </c>
      <c r="R97" s="57">
        <v>1.2600180000000001</v>
      </c>
      <c r="S97" s="14"/>
      <c r="T97" s="14"/>
      <c r="U97" s="14"/>
      <c r="V97" s="8" cm="1">
        <f t="array" ref="V9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96)+1),6),"")</f>
        <v>0.27443699999999999</v>
      </c>
      <c r="W97" s="9">
        <f t="shared" si="5"/>
        <v>4499.3209097836307</v>
      </c>
      <c r="Y97" s="30">
        <v>0.25465700000000002</v>
      </c>
      <c r="Z97" s="15">
        <v>34.5</v>
      </c>
      <c r="AA97" s="16">
        <v>1335583.72</v>
      </c>
      <c r="AB97" s="23">
        <v>1335583.72</v>
      </c>
    </row>
    <row r="98" spans="1:28" x14ac:dyDescent="0.25">
      <c r="A98" s="54">
        <v>160</v>
      </c>
      <c r="B98" s="55">
        <v>1.2929999999999999</v>
      </c>
      <c r="C98" s="55">
        <v>146</v>
      </c>
      <c r="D98" s="55">
        <v>1.277666</v>
      </c>
      <c r="E98" s="56">
        <v>148</v>
      </c>
      <c r="F98" s="57">
        <v>1.2791859999999999</v>
      </c>
      <c r="G98" s="54">
        <v>160</v>
      </c>
      <c r="H98" s="55">
        <v>1.3132109999999999</v>
      </c>
      <c r="I98" s="55">
        <f t="shared" si="3"/>
        <v>153</v>
      </c>
      <c r="J98" s="55">
        <v>1.305871</v>
      </c>
      <c r="K98" s="55">
        <f t="shared" si="4"/>
        <v>159</v>
      </c>
      <c r="L98" s="57">
        <v>1.3134300000000001</v>
      </c>
      <c r="M98" s="54">
        <v>160</v>
      </c>
      <c r="N98" s="55">
        <v>1.263979</v>
      </c>
      <c r="O98" s="56">
        <v>160</v>
      </c>
      <c r="P98" s="55">
        <v>1.262</v>
      </c>
      <c r="Q98" s="55">
        <v>158</v>
      </c>
      <c r="R98" s="57">
        <v>1.2540230000000001</v>
      </c>
      <c r="S98" s="14"/>
      <c r="T98" s="14"/>
      <c r="U98" s="14"/>
      <c r="V98" s="8" cm="1">
        <f t="array" ref="V9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97)+1),6),"")</f>
        <v>0.28043200000000001</v>
      </c>
      <c r="W98" s="9">
        <f t="shared" si="5"/>
        <v>4597.6073247136619</v>
      </c>
      <c r="Y98" s="30">
        <v>0.25678699999999999</v>
      </c>
      <c r="Z98" s="15"/>
      <c r="AA98" s="16"/>
      <c r="AB98" s="23">
        <v>1346217.4988888889</v>
      </c>
    </row>
    <row r="99" spans="1:28" x14ac:dyDescent="0.25">
      <c r="A99" s="54">
        <v>159</v>
      </c>
      <c r="B99" s="55">
        <v>1.288475</v>
      </c>
      <c r="C99" s="55">
        <v>145</v>
      </c>
      <c r="D99" s="55">
        <v>1.2768980000000001</v>
      </c>
      <c r="E99" s="56">
        <v>147</v>
      </c>
      <c r="F99" s="57">
        <v>1.276986</v>
      </c>
      <c r="G99" s="54">
        <v>159</v>
      </c>
      <c r="H99" s="55">
        <v>1.3081020000000001</v>
      </c>
      <c r="I99" s="55">
        <f t="shared" si="3"/>
        <v>152</v>
      </c>
      <c r="J99" s="55">
        <v>1.303965</v>
      </c>
      <c r="K99" s="55">
        <f t="shared" si="4"/>
        <v>158</v>
      </c>
      <c r="L99" s="57">
        <v>1.3080229999999999</v>
      </c>
      <c r="M99" s="54">
        <v>159</v>
      </c>
      <c r="N99" s="55">
        <v>1.26</v>
      </c>
      <c r="O99" s="56">
        <v>159</v>
      </c>
      <c r="P99" s="55">
        <v>1.2562770000000001</v>
      </c>
      <c r="Q99" s="55">
        <v>157</v>
      </c>
      <c r="R99" s="57">
        <v>1.252008</v>
      </c>
      <c r="S99" s="14"/>
      <c r="T99" s="14"/>
      <c r="U99" s="14"/>
      <c r="V99" s="8" cm="1">
        <f t="array" ref="V9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98)+1),6),"")</f>
        <v>0.282447</v>
      </c>
      <c r="W99" s="9">
        <f t="shared" si="5"/>
        <v>4630.6427085475252</v>
      </c>
      <c r="Y99" s="30">
        <v>0.260268</v>
      </c>
      <c r="Z99" s="15"/>
      <c r="AA99" s="16"/>
      <c r="AB99" s="23">
        <v>1356851.2777777778</v>
      </c>
    </row>
    <row r="100" spans="1:28" x14ac:dyDescent="0.25">
      <c r="A100" s="54">
        <v>158</v>
      </c>
      <c r="B100" s="55">
        <v>1.286637</v>
      </c>
      <c r="C100" s="55">
        <v>144</v>
      </c>
      <c r="D100" s="55">
        <v>1.2737700000000001</v>
      </c>
      <c r="E100" s="56">
        <v>147</v>
      </c>
      <c r="F100" s="57">
        <v>1.274994</v>
      </c>
      <c r="G100" s="54">
        <v>158</v>
      </c>
      <c r="H100" s="55">
        <v>1.3061860000000001</v>
      </c>
      <c r="I100" s="55">
        <f t="shared" si="3"/>
        <v>151</v>
      </c>
      <c r="J100" s="55">
        <v>1.298697</v>
      </c>
      <c r="K100" s="55">
        <f t="shared" si="4"/>
        <v>157</v>
      </c>
      <c r="L100" s="57">
        <v>1.306</v>
      </c>
      <c r="M100" s="54">
        <v>158</v>
      </c>
      <c r="N100" s="55">
        <v>1.254262</v>
      </c>
      <c r="O100" s="56">
        <v>158</v>
      </c>
      <c r="P100" s="55">
        <v>1.2536290000000001</v>
      </c>
      <c r="Q100" s="55">
        <v>156</v>
      </c>
      <c r="R100" s="57">
        <v>1.2499800000000001</v>
      </c>
      <c r="S100" s="14"/>
      <c r="T100" s="14"/>
      <c r="U100" s="14"/>
      <c r="V100" s="8" cm="1">
        <f t="array" ref="V10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99)+1),6),"")</f>
        <v>0.28447499999999998</v>
      </c>
      <c r="W100" s="9">
        <f t="shared" si="5"/>
        <v>4663.8912238899939</v>
      </c>
      <c r="Y100" s="30">
        <v>0.26230900000000001</v>
      </c>
      <c r="Z100" s="15"/>
      <c r="AA100" s="16"/>
      <c r="AB100" s="23">
        <v>1367485.0566666666</v>
      </c>
    </row>
    <row r="101" spans="1:28" x14ac:dyDescent="0.25">
      <c r="A101" s="54">
        <v>157</v>
      </c>
      <c r="B101" s="55">
        <v>1.279029</v>
      </c>
      <c r="C101" s="55">
        <v>143</v>
      </c>
      <c r="D101" s="55">
        <v>1.267004</v>
      </c>
      <c r="E101" s="56">
        <v>145</v>
      </c>
      <c r="F101" s="57">
        <v>1.272869</v>
      </c>
      <c r="G101" s="54">
        <v>157</v>
      </c>
      <c r="H101" s="55">
        <v>1.304</v>
      </c>
      <c r="I101" s="55">
        <f t="shared" si="3"/>
        <v>150</v>
      </c>
      <c r="J101" s="55">
        <v>1.2959590000000001</v>
      </c>
      <c r="K101" s="55">
        <f t="shared" si="4"/>
        <v>156</v>
      </c>
      <c r="L101" s="57">
        <v>1.304</v>
      </c>
      <c r="M101" s="54">
        <v>157</v>
      </c>
      <c r="N101" s="55">
        <v>1.252078</v>
      </c>
      <c r="O101" s="56">
        <v>157</v>
      </c>
      <c r="P101" s="55">
        <v>1.250068</v>
      </c>
      <c r="Q101" s="55">
        <v>155</v>
      </c>
      <c r="R101" s="57">
        <v>1.248</v>
      </c>
      <c r="S101" s="14"/>
      <c r="T101" s="14"/>
      <c r="U101" s="14"/>
      <c r="V101" s="8" cm="1">
        <f t="array" ref="V10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100)+1),6),"")</f>
        <v>0.28645500000000002</v>
      </c>
      <c r="W101" s="9">
        <f t="shared" si="5"/>
        <v>4696.3527921237664</v>
      </c>
      <c r="Y101" s="30">
        <v>0.26656200000000002</v>
      </c>
      <c r="Z101" s="15"/>
      <c r="AA101" s="16"/>
      <c r="AB101" s="23">
        <v>1378118.8355555555</v>
      </c>
    </row>
    <row r="102" spans="1:28" x14ac:dyDescent="0.25">
      <c r="A102" s="54">
        <v>156</v>
      </c>
      <c r="B102" s="55">
        <v>1.277002</v>
      </c>
      <c r="C102" s="55">
        <v>142</v>
      </c>
      <c r="D102" s="55">
        <v>1.2649999999999999</v>
      </c>
      <c r="E102" s="56">
        <v>145</v>
      </c>
      <c r="F102" s="57">
        <v>1.2729980000000001</v>
      </c>
      <c r="G102" s="54">
        <v>156</v>
      </c>
      <c r="H102" s="55">
        <v>1.3013380000000001</v>
      </c>
      <c r="I102" s="55">
        <f t="shared" si="3"/>
        <v>149</v>
      </c>
      <c r="J102" s="55">
        <v>1.2938259999999999</v>
      </c>
      <c r="K102" s="55">
        <f t="shared" si="4"/>
        <v>155</v>
      </c>
      <c r="L102" s="57">
        <v>1.300406</v>
      </c>
      <c r="M102" s="54">
        <v>156</v>
      </c>
      <c r="N102" s="55">
        <v>1.2500020000000001</v>
      </c>
      <c r="O102" s="56">
        <v>156</v>
      </c>
      <c r="P102" s="55">
        <v>1.2480119999999999</v>
      </c>
      <c r="Q102" s="55">
        <v>154</v>
      </c>
      <c r="R102" s="57">
        <v>1.245984</v>
      </c>
      <c r="S102" s="14"/>
      <c r="T102" s="14"/>
      <c r="U102" s="14"/>
      <c r="V102" s="8" cm="1">
        <f t="array" ref="V10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101)+1),6),"")</f>
        <v>0.28847099999999998</v>
      </c>
      <c r="W102" s="9">
        <f t="shared" si="5"/>
        <v>4729.4045706890602</v>
      </c>
      <c r="Y102" s="30">
        <v>0.26839099999999999</v>
      </c>
      <c r="Z102" s="15"/>
      <c r="AA102" s="16"/>
      <c r="AB102" s="23">
        <v>1388752.6144444444</v>
      </c>
    </row>
    <row r="103" spans="1:28" x14ac:dyDescent="0.25">
      <c r="A103" s="54">
        <v>155</v>
      </c>
      <c r="B103" s="55">
        <v>1.2749999999999999</v>
      </c>
      <c r="C103" s="55">
        <v>141</v>
      </c>
      <c r="D103" s="55">
        <v>1.259328</v>
      </c>
      <c r="E103" s="56">
        <v>144</v>
      </c>
      <c r="F103" s="57">
        <v>1.2689999999999999</v>
      </c>
      <c r="G103" s="54">
        <v>155</v>
      </c>
      <c r="H103" s="55">
        <v>1.2981659999999999</v>
      </c>
      <c r="I103" s="55">
        <f t="shared" si="3"/>
        <v>148</v>
      </c>
      <c r="J103" s="55">
        <v>1.290432</v>
      </c>
      <c r="K103" s="55">
        <f t="shared" si="4"/>
        <v>154</v>
      </c>
      <c r="L103" s="57">
        <v>1.2977540000000001</v>
      </c>
      <c r="M103" s="54">
        <v>155</v>
      </c>
      <c r="N103" s="55">
        <v>1.2472209999999999</v>
      </c>
      <c r="O103" s="56">
        <v>155</v>
      </c>
      <c r="P103" s="55">
        <v>1.2459979999999999</v>
      </c>
      <c r="Q103" s="55">
        <v>153</v>
      </c>
      <c r="R103" s="57">
        <v>1.243949</v>
      </c>
      <c r="S103" s="14"/>
      <c r="T103" s="14"/>
      <c r="U103" s="14"/>
      <c r="V103" s="8" cm="1">
        <f t="array" ref="V10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102)+1),6),"")</f>
        <v>0.29050599999999999</v>
      </c>
      <c r="W103" s="9">
        <f t="shared" si="5"/>
        <v>4762.767849151548</v>
      </c>
      <c r="Y103" s="30">
        <v>0.27140199999999998</v>
      </c>
      <c r="Z103" s="15"/>
      <c r="AA103" s="16"/>
      <c r="AB103" s="23">
        <v>1399386.3933333333</v>
      </c>
    </row>
    <row r="104" spans="1:28" x14ac:dyDescent="0.25">
      <c r="A104" s="54">
        <v>154</v>
      </c>
      <c r="B104" s="55">
        <v>1.2730140000000001</v>
      </c>
      <c r="C104" s="55">
        <v>140</v>
      </c>
      <c r="D104" s="55">
        <v>1.2569999999999999</v>
      </c>
      <c r="E104" s="56">
        <v>143</v>
      </c>
      <c r="F104" s="57">
        <v>1.2669999999999999</v>
      </c>
      <c r="G104" s="54">
        <v>154</v>
      </c>
      <c r="H104" s="55">
        <v>1.295922</v>
      </c>
      <c r="I104" s="55">
        <f t="shared" si="3"/>
        <v>147</v>
      </c>
      <c r="J104" s="55">
        <v>1.288</v>
      </c>
      <c r="K104" s="55">
        <f t="shared" si="4"/>
        <v>153</v>
      </c>
      <c r="L104" s="57">
        <v>1.2941879999999999</v>
      </c>
      <c r="M104" s="54">
        <v>154</v>
      </c>
      <c r="N104" s="55">
        <v>1.245709</v>
      </c>
      <c r="O104" s="56">
        <v>154</v>
      </c>
      <c r="P104" s="55">
        <v>1.244</v>
      </c>
      <c r="Q104" s="55">
        <v>152</v>
      </c>
      <c r="R104" s="57">
        <v>1.2414529999999999</v>
      </c>
      <c r="S104" s="14"/>
      <c r="T104" s="14"/>
      <c r="U104" s="14"/>
      <c r="V104" s="8" cm="1">
        <f t="array" ref="V10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103)+1),6),"")</f>
        <v>0.29300199999999998</v>
      </c>
      <c r="W104" s="9">
        <f t="shared" si="5"/>
        <v>4803.6890988038176</v>
      </c>
      <c r="Y104" s="30">
        <v>0.27366699999999999</v>
      </c>
      <c r="Z104" s="15"/>
      <c r="AA104" s="16"/>
      <c r="AB104" s="23">
        <v>1410020.1722222222</v>
      </c>
    </row>
    <row r="105" spans="1:28" x14ac:dyDescent="0.25">
      <c r="A105" s="54">
        <v>153</v>
      </c>
      <c r="B105" s="55">
        <v>1.2689999999999999</v>
      </c>
      <c r="C105" s="55">
        <v>139</v>
      </c>
      <c r="D105" s="55">
        <v>1.255002</v>
      </c>
      <c r="E105" s="56">
        <v>142</v>
      </c>
      <c r="F105" s="57">
        <v>1.2649999999999999</v>
      </c>
      <c r="G105" s="54">
        <v>153</v>
      </c>
      <c r="H105" s="55">
        <v>1.29227</v>
      </c>
      <c r="I105" s="55">
        <f t="shared" si="3"/>
        <v>146</v>
      </c>
      <c r="J105" s="55">
        <v>1.284</v>
      </c>
      <c r="K105" s="55">
        <f t="shared" si="4"/>
        <v>152</v>
      </c>
      <c r="L105" s="57">
        <v>1.2925249999999999</v>
      </c>
      <c r="M105" s="54">
        <v>153</v>
      </c>
      <c r="N105" s="55">
        <v>1.2437229999999999</v>
      </c>
      <c r="O105" s="56">
        <v>153</v>
      </c>
      <c r="P105" s="55">
        <v>1.2419709999999999</v>
      </c>
      <c r="Q105" s="55">
        <v>151</v>
      </c>
      <c r="R105" s="57">
        <v>1.2359709999999999</v>
      </c>
      <c r="S105" s="14"/>
      <c r="T105" s="14"/>
      <c r="U105" s="14"/>
      <c r="V105" s="8" cm="1">
        <f t="array" ref="V10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104)+1),6),"")</f>
        <v>0.29848400000000003</v>
      </c>
      <c r="W105" s="9">
        <f t="shared" si="5"/>
        <v>4893.5650165096449</v>
      </c>
      <c r="Y105" s="30">
        <v>0.27801500000000001</v>
      </c>
      <c r="Z105" s="15"/>
      <c r="AA105" s="16"/>
      <c r="AB105" s="23">
        <v>1420653.9511111111</v>
      </c>
    </row>
    <row r="106" spans="1:28" x14ac:dyDescent="0.25">
      <c r="A106" s="54">
        <v>152</v>
      </c>
      <c r="B106" s="55">
        <v>1.267012</v>
      </c>
      <c r="C106" s="55">
        <v>138</v>
      </c>
      <c r="D106" s="55">
        <v>1.252529</v>
      </c>
      <c r="E106" s="56">
        <v>141</v>
      </c>
      <c r="F106" s="57">
        <v>1.2589939999999999</v>
      </c>
      <c r="G106" s="54">
        <v>152</v>
      </c>
      <c r="H106" s="55">
        <v>1.290117</v>
      </c>
      <c r="I106" s="55">
        <f t="shared" si="3"/>
        <v>145</v>
      </c>
      <c r="J106" s="55">
        <v>1.2799430000000001</v>
      </c>
      <c r="K106" s="55">
        <f t="shared" si="4"/>
        <v>151</v>
      </c>
      <c r="L106" s="57">
        <v>1.28999</v>
      </c>
      <c r="M106" s="54">
        <v>152</v>
      </c>
      <c r="N106" s="55">
        <v>1.2408980000000001</v>
      </c>
      <c r="O106" s="56">
        <v>152</v>
      </c>
      <c r="P106" s="55">
        <v>1.2360040000000001</v>
      </c>
      <c r="Q106" s="55">
        <v>150</v>
      </c>
      <c r="R106" s="57">
        <v>1.2314020000000001</v>
      </c>
      <c r="S106" s="14"/>
      <c r="T106" s="14"/>
      <c r="U106" s="14"/>
      <c r="V106" s="8" cm="1">
        <f t="array" ref="V10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105)+1),6),"")</f>
        <v>0.30305300000000002</v>
      </c>
      <c r="W106" s="9">
        <f t="shared" si="5"/>
        <v>4968.472544418787</v>
      </c>
      <c r="Y106" s="30">
        <v>0.28020699999999998</v>
      </c>
      <c r="Z106" s="15">
        <v>34</v>
      </c>
      <c r="AA106" s="16">
        <v>1431287.73</v>
      </c>
      <c r="AB106" s="23">
        <v>1431287.73</v>
      </c>
    </row>
    <row r="107" spans="1:28" x14ac:dyDescent="0.25">
      <c r="A107" s="54">
        <v>151</v>
      </c>
      <c r="B107" s="55">
        <v>1.265279</v>
      </c>
      <c r="C107" s="55">
        <v>137</v>
      </c>
      <c r="D107" s="55">
        <v>1.25098</v>
      </c>
      <c r="E107" s="56">
        <v>140</v>
      </c>
      <c r="F107" s="57">
        <v>1.2551969999999999</v>
      </c>
      <c r="G107" s="54">
        <v>151</v>
      </c>
      <c r="H107" s="55">
        <v>1.288</v>
      </c>
      <c r="I107" s="55">
        <f t="shared" si="3"/>
        <v>144</v>
      </c>
      <c r="J107" s="55">
        <v>1.277979</v>
      </c>
      <c r="K107" s="55">
        <f t="shared" si="4"/>
        <v>150</v>
      </c>
      <c r="L107" s="57">
        <v>1.287949</v>
      </c>
      <c r="M107" s="54">
        <v>151</v>
      </c>
      <c r="N107" s="55">
        <v>1.2357480000000001</v>
      </c>
      <c r="O107" s="56">
        <v>151</v>
      </c>
      <c r="P107" s="55">
        <v>1.234</v>
      </c>
      <c r="Q107" s="55">
        <v>149</v>
      </c>
      <c r="R107" s="57">
        <v>1.2288889999999999</v>
      </c>
      <c r="S107" s="14"/>
      <c r="T107" s="14"/>
      <c r="U107" s="14"/>
      <c r="V107" s="8" cm="1">
        <f t="array" ref="V10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106)+1),6),"")</f>
        <v>0.305566</v>
      </c>
      <c r="W107" s="9">
        <f t="shared" si="5"/>
        <v>5009.6725045053872</v>
      </c>
      <c r="Y107" s="30">
        <v>0.28197299999999997</v>
      </c>
      <c r="Z107" s="15"/>
      <c r="AA107" s="16"/>
      <c r="AB107" s="23">
        <v>1443439.99125</v>
      </c>
    </row>
    <row r="108" spans="1:28" x14ac:dyDescent="0.25">
      <c r="A108" s="54">
        <v>150</v>
      </c>
      <c r="B108" s="55">
        <v>1.2638590000000001</v>
      </c>
      <c r="C108" s="55">
        <v>136</v>
      </c>
      <c r="D108" s="55">
        <v>1.2483010000000001</v>
      </c>
      <c r="E108" s="56">
        <v>140</v>
      </c>
      <c r="F108" s="57">
        <v>1.25302</v>
      </c>
      <c r="G108" s="54">
        <v>150</v>
      </c>
      <c r="H108" s="55">
        <v>1.2838339999999999</v>
      </c>
      <c r="I108" s="55">
        <f t="shared" si="3"/>
        <v>143</v>
      </c>
      <c r="J108" s="55">
        <v>1.2759860000000001</v>
      </c>
      <c r="K108" s="55">
        <f t="shared" si="4"/>
        <v>149</v>
      </c>
      <c r="L108" s="57">
        <v>1.2817970000000001</v>
      </c>
      <c r="M108" s="54">
        <v>150</v>
      </c>
      <c r="N108" s="55">
        <v>1.233074</v>
      </c>
      <c r="O108" s="56">
        <v>150</v>
      </c>
      <c r="P108" s="55">
        <v>1.23</v>
      </c>
      <c r="Q108" s="55">
        <v>148</v>
      </c>
      <c r="R108" s="57">
        <v>1.226</v>
      </c>
      <c r="S108" s="14"/>
      <c r="T108" s="14"/>
      <c r="U108" s="14"/>
      <c r="V108" s="8" cm="1">
        <f t="array" ref="V10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107)+1),6),"")</f>
        <v>0.30845499999999998</v>
      </c>
      <c r="W108" s="9">
        <f t="shared" si="5"/>
        <v>5057.036883610117</v>
      </c>
      <c r="Y108" s="30">
        <v>0.28421099999999999</v>
      </c>
      <c r="Z108" s="15"/>
      <c r="AA108" s="16"/>
      <c r="AB108" s="23">
        <v>1455592.2524999999</v>
      </c>
    </row>
    <row r="109" spans="1:28" x14ac:dyDescent="0.25">
      <c r="A109" s="54">
        <v>149</v>
      </c>
      <c r="B109" s="55">
        <v>1.25752</v>
      </c>
      <c r="C109" s="55">
        <v>135</v>
      </c>
      <c r="D109" s="55">
        <v>1.2445079999999999</v>
      </c>
      <c r="E109" s="56">
        <v>138</v>
      </c>
      <c r="F109" s="57">
        <v>1.2509939999999999</v>
      </c>
      <c r="G109" s="54">
        <v>149</v>
      </c>
      <c r="H109" s="55">
        <v>1.2782420000000001</v>
      </c>
      <c r="I109" s="55">
        <f t="shared" si="3"/>
        <v>142</v>
      </c>
      <c r="J109" s="55">
        <v>1.2739879999999999</v>
      </c>
      <c r="K109" s="55">
        <f t="shared" si="4"/>
        <v>148</v>
      </c>
      <c r="L109" s="57">
        <v>1.278146</v>
      </c>
      <c r="M109" s="54">
        <v>149</v>
      </c>
      <c r="N109" s="55">
        <v>1.2298830000000001</v>
      </c>
      <c r="O109" s="56">
        <v>149</v>
      </c>
      <c r="P109" s="55">
        <v>1.2276370000000001</v>
      </c>
      <c r="Q109" s="55">
        <v>147</v>
      </c>
      <c r="R109" s="57">
        <v>1.2248049999999999</v>
      </c>
      <c r="S109" s="14"/>
      <c r="T109" s="14"/>
      <c r="U109" s="14"/>
      <c r="V109" s="8" cm="1">
        <f t="array" ref="V10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108)+1),6),"")</f>
        <v>0.30964999999999998</v>
      </c>
      <c r="W109" s="9">
        <f t="shared" si="5"/>
        <v>5076.6285876703987</v>
      </c>
      <c r="Y109" s="30">
        <v>0.28848299999999999</v>
      </c>
      <c r="Z109" s="15"/>
      <c r="AA109" s="16"/>
      <c r="AB109" s="23">
        <v>1467744.5137499999</v>
      </c>
    </row>
    <row r="110" spans="1:28" x14ac:dyDescent="0.25">
      <c r="A110" s="54">
        <v>148</v>
      </c>
      <c r="B110" s="55">
        <v>1.255295</v>
      </c>
      <c r="C110" s="55">
        <v>134</v>
      </c>
      <c r="D110" s="55">
        <v>1.2393380000000001</v>
      </c>
      <c r="E110" s="56">
        <v>138</v>
      </c>
      <c r="F110" s="57">
        <v>1.2488889999999999</v>
      </c>
      <c r="G110" s="54">
        <v>148</v>
      </c>
      <c r="H110" s="55">
        <v>1.2764800000000001</v>
      </c>
      <c r="I110" s="55">
        <f t="shared" si="3"/>
        <v>141</v>
      </c>
      <c r="J110" s="55">
        <v>1.27</v>
      </c>
      <c r="K110" s="55">
        <f t="shared" si="4"/>
        <v>147</v>
      </c>
      <c r="L110" s="57">
        <v>1.2760469999999999</v>
      </c>
      <c r="M110" s="54">
        <v>148</v>
      </c>
      <c r="N110" s="55">
        <v>1.227066</v>
      </c>
      <c r="O110" s="56">
        <v>148</v>
      </c>
      <c r="P110" s="55">
        <v>1.224926</v>
      </c>
      <c r="Q110" s="55">
        <v>146</v>
      </c>
      <c r="R110" s="57">
        <v>1.222</v>
      </c>
      <c r="S110" s="14"/>
      <c r="T110" s="14"/>
      <c r="U110" s="14"/>
      <c r="V110" s="8" cm="1">
        <f t="array" ref="V11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109)+1),6),"")</f>
        <v>0.31245499999999998</v>
      </c>
      <c r="W110" s="9">
        <f t="shared" si="5"/>
        <v>5122.6158093349086</v>
      </c>
      <c r="Y110" s="30">
        <v>0.29056199999999999</v>
      </c>
      <c r="Z110" s="15"/>
      <c r="AA110" s="16"/>
      <c r="AB110" s="23">
        <v>1479896.7749999999</v>
      </c>
    </row>
    <row r="111" spans="1:28" x14ac:dyDescent="0.25">
      <c r="A111" s="54">
        <v>147</v>
      </c>
      <c r="B111" s="55">
        <v>1.2531890000000001</v>
      </c>
      <c r="C111" s="55">
        <v>133</v>
      </c>
      <c r="D111" s="55">
        <v>1.2384569999999999</v>
      </c>
      <c r="E111" s="56">
        <v>136</v>
      </c>
      <c r="F111" s="57">
        <v>1.245484</v>
      </c>
      <c r="G111" s="54">
        <v>147</v>
      </c>
      <c r="H111" s="55">
        <v>1.274859</v>
      </c>
      <c r="I111" s="55">
        <f t="shared" si="3"/>
        <v>140</v>
      </c>
      <c r="J111" s="55">
        <v>1.268</v>
      </c>
      <c r="K111" s="55">
        <f t="shared" si="4"/>
        <v>146</v>
      </c>
      <c r="L111" s="57">
        <v>1.274254</v>
      </c>
      <c r="M111" s="54">
        <v>147</v>
      </c>
      <c r="N111" s="55">
        <v>1.223973</v>
      </c>
      <c r="O111" s="56">
        <v>147</v>
      </c>
      <c r="P111" s="55">
        <v>1.2222440000000001</v>
      </c>
      <c r="Q111" s="55">
        <v>145</v>
      </c>
      <c r="R111" s="57">
        <v>1.218736</v>
      </c>
      <c r="S111" s="14"/>
      <c r="T111" s="14"/>
      <c r="U111" s="14"/>
      <c r="V111" s="8" cm="1">
        <f t="array" ref="V11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110)+1),6),"")</f>
        <v>0.31571900000000003</v>
      </c>
      <c r="W111" s="9">
        <f t="shared" si="5"/>
        <v>5176.1282127263385</v>
      </c>
      <c r="Y111" s="30">
        <v>0.29357</v>
      </c>
      <c r="Z111" s="15"/>
      <c r="AA111" s="16"/>
      <c r="AB111" s="23">
        <v>1492049.0362499999</v>
      </c>
    </row>
    <row r="112" spans="1:28" x14ac:dyDescent="0.25">
      <c r="A112" s="54">
        <v>146</v>
      </c>
      <c r="B112" s="55">
        <v>1.251088</v>
      </c>
      <c r="C112" s="55">
        <v>132</v>
      </c>
      <c r="D112" s="55">
        <v>1.233125</v>
      </c>
      <c r="E112" s="56">
        <v>136</v>
      </c>
      <c r="F112" s="57">
        <v>1.2409939999999999</v>
      </c>
      <c r="G112" s="54">
        <v>146</v>
      </c>
      <c r="H112" s="55">
        <v>1.272697</v>
      </c>
      <c r="I112" s="55">
        <f t="shared" si="3"/>
        <v>139</v>
      </c>
      <c r="J112" s="55">
        <v>1.265984</v>
      </c>
      <c r="K112" s="55">
        <f t="shared" si="4"/>
        <v>145</v>
      </c>
      <c r="L112" s="57">
        <v>1.2705329999999999</v>
      </c>
      <c r="M112" s="54">
        <v>146</v>
      </c>
      <c r="N112" s="55">
        <v>1.221957</v>
      </c>
      <c r="O112" s="56">
        <v>146</v>
      </c>
      <c r="P112" s="55">
        <v>1.220264</v>
      </c>
      <c r="Q112" s="55">
        <v>144</v>
      </c>
      <c r="R112" s="57">
        <v>1.216</v>
      </c>
      <c r="S112" s="14"/>
      <c r="T112" s="14"/>
      <c r="U112" s="14"/>
      <c r="V112" s="8" cm="1">
        <f t="array" ref="V11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111)+1),6),"")</f>
        <v>0.31845499999999999</v>
      </c>
      <c r="W112" s="9">
        <f t="shared" si="5"/>
        <v>5220.9841979220955</v>
      </c>
      <c r="Y112" s="30">
        <v>0.29558899999999999</v>
      </c>
      <c r="Z112" s="15"/>
      <c r="AA112" s="16"/>
      <c r="AB112" s="23">
        <v>1504201.2974999999</v>
      </c>
    </row>
    <row r="113" spans="1:28" x14ac:dyDescent="0.25">
      <c r="A113" s="54">
        <v>145</v>
      </c>
      <c r="B113" s="55">
        <v>1.2490000000000001</v>
      </c>
      <c r="C113" s="55">
        <v>131</v>
      </c>
      <c r="D113" s="55">
        <v>1.231436</v>
      </c>
      <c r="E113" s="56">
        <v>134</v>
      </c>
      <c r="F113" s="57">
        <v>1.2384489999999999</v>
      </c>
      <c r="G113" s="54">
        <v>145</v>
      </c>
      <c r="H113" s="55">
        <v>1.26816</v>
      </c>
      <c r="I113" s="55">
        <f t="shared" si="3"/>
        <v>138</v>
      </c>
      <c r="J113" s="55">
        <v>1.26</v>
      </c>
      <c r="K113" s="55">
        <f t="shared" si="4"/>
        <v>144</v>
      </c>
      <c r="L113" s="57">
        <v>1.26823</v>
      </c>
      <c r="M113" s="54">
        <v>145</v>
      </c>
      <c r="N113" s="55">
        <v>1.2179979999999999</v>
      </c>
      <c r="O113" s="56">
        <v>145</v>
      </c>
      <c r="P113" s="55">
        <v>1.216574</v>
      </c>
      <c r="Q113" s="55">
        <v>143</v>
      </c>
      <c r="R113" s="57">
        <v>1.2120679999999999</v>
      </c>
      <c r="S113" s="14"/>
      <c r="T113" s="14"/>
      <c r="U113" s="14"/>
      <c r="V113" s="8" cm="1">
        <f t="array" ref="V11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112)+1),6),"")</f>
        <v>0.32238699999999998</v>
      </c>
      <c r="W113" s="9">
        <f t="shared" si="5"/>
        <v>5285.4482819095647</v>
      </c>
      <c r="Y113" s="30">
        <v>0.29980400000000001</v>
      </c>
      <c r="Z113" s="15"/>
      <c r="AA113" s="16"/>
      <c r="AB113" s="23">
        <v>1516353.5587499999</v>
      </c>
    </row>
    <row r="114" spans="1:28" x14ac:dyDescent="0.25">
      <c r="A114" s="54">
        <v>144</v>
      </c>
      <c r="B114" s="55">
        <v>1.246996</v>
      </c>
      <c r="C114" s="55">
        <v>130</v>
      </c>
      <c r="D114" s="55">
        <v>1.228963</v>
      </c>
      <c r="E114" s="56">
        <v>133</v>
      </c>
      <c r="F114" s="57">
        <v>1.233066</v>
      </c>
      <c r="G114" s="54">
        <v>144</v>
      </c>
      <c r="H114" s="55">
        <v>1.2665059999999999</v>
      </c>
      <c r="I114" s="55">
        <f t="shared" si="3"/>
        <v>137</v>
      </c>
      <c r="J114" s="55">
        <v>1.2579769999999999</v>
      </c>
      <c r="K114" s="55">
        <f t="shared" si="4"/>
        <v>143</v>
      </c>
      <c r="L114" s="57">
        <v>1.266</v>
      </c>
      <c r="M114" s="54">
        <v>144</v>
      </c>
      <c r="N114" s="55">
        <v>1.215994</v>
      </c>
      <c r="O114" s="56">
        <v>144</v>
      </c>
      <c r="P114" s="55">
        <v>1.2141189999999999</v>
      </c>
      <c r="Q114" s="55">
        <v>142</v>
      </c>
      <c r="R114" s="57">
        <v>1.2100059999999999</v>
      </c>
      <c r="S114" s="14"/>
      <c r="T114" s="14"/>
      <c r="U114" s="14"/>
      <c r="V114" s="8" cm="1">
        <f t="array" ref="V11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113)+1),6),"")</f>
        <v>0.32444899999999999</v>
      </c>
      <c r="W114" s="9">
        <f t="shared" si="5"/>
        <v>5319.2542181206954</v>
      </c>
      <c r="Y114" s="30">
        <v>0.30188900000000002</v>
      </c>
      <c r="Z114" s="15">
        <v>33.5</v>
      </c>
      <c r="AA114" s="16">
        <v>1528505.82</v>
      </c>
      <c r="AB114" s="23">
        <v>1528505.8199999998</v>
      </c>
    </row>
    <row r="115" spans="1:28" x14ac:dyDescent="0.25">
      <c r="A115" s="54">
        <v>143</v>
      </c>
      <c r="B115" s="55">
        <v>1.2410000000000001</v>
      </c>
      <c r="C115" s="55">
        <v>129</v>
      </c>
      <c r="D115" s="55">
        <v>1.2270000000000001</v>
      </c>
      <c r="E115" s="56">
        <v>132</v>
      </c>
      <c r="F115" s="57">
        <v>1.2310000000000001</v>
      </c>
      <c r="G115" s="54">
        <v>143</v>
      </c>
      <c r="H115" s="55">
        <v>1.26</v>
      </c>
      <c r="I115" s="55">
        <f t="shared" si="3"/>
        <v>136</v>
      </c>
      <c r="J115" s="55">
        <v>1.255789</v>
      </c>
      <c r="K115" s="55">
        <f t="shared" si="4"/>
        <v>142</v>
      </c>
      <c r="L115" s="57">
        <v>1.26</v>
      </c>
      <c r="M115" s="54">
        <v>143</v>
      </c>
      <c r="N115" s="55">
        <v>1.2120040000000001</v>
      </c>
      <c r="O115" s="56">
        <v>143</v>
      </c>
      <c r="P115" s="55">
        <v>1.2119530000000001</v>
      </c>
      <c r="Q115" s="55">
        <v>141</v>
      </c>
      <c r="R115" s="57">
        <v>1.206</v>
      </c>
      <c r="S115" s="14"/>
      <c r="T115" s="14"/>
      <c r="U115" s="14"/>
      <c r="V115" s="8" cm="1">
        <f t="array" ref="V11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114)+1),6),"")</f>
        <v>0.328455</v>
      </c>
      <c r="W115" s="9">
        <f t="shared" si="5"/>
        <v>5384.931512234074</v>
      </c>
      <c r="Y115" s="30">
        <v>0.30759900000000001</v>
      </c>
      <c r="Z115" s="15"/>
      <c r="AA115" s="16"/>
      <c r="AB115" s="23">
        <v>1538660.6355555553</v>
      </c>
    </row>
    <row r="116" spans="1:28" x14ac:dyDescent="0.25">
      <c r="A116" s="54">
        <v>142</v>
      </c>
      <c r="B116" s="55">
        <v>1.2390000000000001</v>
      </c>
      <c r="C116" s="55">
        <v>128</v>
      </c>
      <c r="D116" s="55">
        <v>1.2229939999999999</v>
      </c>
      <c r="E116" s="56">
        <v>131</v>
      </c>
      <c r="F116" s="57">
        <v>1.2288399999999999</v>
      </c>
      <c r="G116" s="54">
        <v>142</v>
      </c>
      <c r="H116" s="55">
        <v>1.258</v>
      </c>
      <c r="I116" s="55">
        <f t="shared" si="3"/>
        <v>135</v>
      </c>
      <c r="J116" s="55">
        <v>1.2519960000000001</v>
      </c>
      <c r="K116" s="55">
        <f t="shared" si="4"/>
        <v>141</v>
      </c>
      <c r="L116" s="57">
        <v>1.258</v>
      </c>
      <c r="M116" s="54">
        <v>142</v>
      </c>
      <c r="N116" s="55">
        <v>1.21</v>
      </c>
      <c r="O116" s="56">
        <v>142</v>
      </c>
      <c r="P116" s="55">
        <v>1.2088049999999999</v>
      </c>
      <c r="Q116" s="55">
        <v>140</v>
      </c>
      <c r="R116" s="57">
        <v>1.204</v>
      </c>
      <c r="S116" s="14"/>
      <c r="T116" s="14"/>
      <c r="U116" s="14"/>
      <c r="V116" s="8" cm="1">
        <f t="array" ref="V11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115)+1),6),"")</f>
        <v>0.330455</v>
      </c>
      <c r="W116" s="9">
        <f t="shared" si="5"/>
        <v>5417.7209750964694</v>
      </c>
      <c r="Y116" s="30">
        <v>0.30964000000000003</v>
      </c>
      <c r="Z116" s="15"/>
      <c r="AA116" s="16"/>
      <c r="AB116" s="23">
        <v>1548815.4511111109</v>
      </c>
    </row>
    <row r="117" spans="1:28" x14ac:dyDescent="0.25">
      <c r="A117" s="54">
        <v>141</v>
      </c>
      <c r="B117" s="55">
        <v>1.234955</v>
      </c>
      <c r="C117" s="55">
        <v>127</v>
      </c>
      <c r="D117" s="55">
        <v>1.2289239999999999</v>
      </c>
      <c r="E117" s="56">
        <v>126</v>
      </c>
      <c r="F117" s="57">
        <v>1.2257640000000001</v>
      </c>
      <c r="G117" s="54">
        <v>141</v>
      </c>
      <c r="H117" s="55">
        <v>1.255822</v>
      </c>
      <c r="I117" s="55">
        <f t="shared" si="3"/>
        <v>134</v>
      </c>
      <c r="J117" s="55">
        <v>1.2499979999999999</v>
      </c>
      <c r="K117" s="55">
        <f t="shared" si="4"/>
        <v>140</v>
      </c>
      <c r="L117" s="57">
        <v>1.255811</v>
      </c>
      <c r="M117" s="54">
        <v>141</v>
      </c>
      <c r="N117" s="55">
        <v>1.206</v>
      </c>
      <c r="O117" s="56">
        <v>141</v>
      </c>
      <c r="P117" s="55">
        <v>1.2048749999999999</v>
      </c>
      <c r="Q117" s="55">
        <v>139</v>
      </c>
      <c r="R117" s="57">
        <v>1.202</v>
      </c>
      <c r="S117" s="14"/>
      <c r="T117" s="14"/>
      <c r="U117" s="14"/>
      <c r="V117" s="8" cm="1">
        <f t="array" ref="V11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116)+1),6),"")</f>
        <v>0.332455</v>
      </c>
      <c r="W117" s="9">
        <f t="shared" si="5"/>
        <v>5450.5104379588647</v>
      </c>
      <c r="Y117" s="30">
        <v>0.314106</v>
      </c>
      <c r="Z117" s="15"/>
      <c r="AA117" s="16"/>
      <c r="AB117" s="23">
        <v>1558970.2666666664</v>
      </c>
    </row>
    <row r="118" spans="1:28" x14ac:dyDescent="0.25">
      <c r="A118" s="54">
        <v>140</v>
      </c>
      <c r="B118" s="55">
        <v>1.2329589999999999</v>
      </c>
      <c r="C118" s="55">
        <v>126</v>
      </c>
      <c r="D118" s="55">
        <v>1.225867</v>
      </c>
      <c r="E118" s="56">
        <v>129</v>
      </c>
      <c r="F118" s="57">
        <v>1.2312730000000001</v>
      </c>
      <c r="G118" s="54">
        <v>140</v>
      </c>
      <c r="H118" s="55">
        <v>1.2536350000000001</v>
      </c>
      <c r="I118" s="55">
        <f t="shared" si="3"/>
        <v>133</v>
      </c>
      <c r="J118" s="55">
        <v>1.247941</v>
      </c>
      <c r="K118" s="55">
        <f t="shared" si="4"/>
        <v>139</v>
      </c>
      <c r="L118" s="57">
        <v>1.2528870000000001</v>
      </c>
      <c r="M118" s="54">
        <v>140</v>
      </c>
      <c r="N118" s="55">
        <v>1.204</v>
      </c>
      <c r="O118" s="56">
        <v>140</v>
      </c>
      <c r="P118" s="55">
        <v>1.202512</v>
      </c>
      <c r="Q118" s="55">
        <v>138</v>
      </c>
      <c r="R118" s="57">
        <v>1.19743</v>
      </c>
      <c r="S118" s="14"/>
      <c r="T118" s="14"/>
      <c r="U118" s="14"/>
      <c r="V118" s="8" cm="1">
        <f t="array" ref="V11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117)+1),6),"")</f>
        <v>0.33702500000000002</v>
      </c>
      <c r="W118" s="9">
        <f t="shared" si="5"/>
        <v>5525.4343605994391</v>
      </c>
      <c r="Y118" s="30">
        <v>0.31617499999999998</v>
      </c>
      <c r="Z118" s="15"/>
      <c r="AA118" s="16"/>
      <c r="AB118" s="23">
        <v>1569125.0822222219</v>
      </c>
    </row>
    <row r="119" spans="1:28" x14ac:dyDescent="0.25">
      <c r="A119" s="54">
        <v>139</v>
      </c>
      <c r="B119" s="55">
        <v>1.2309220000000001</v>
      </c>
      <c r="C119" s="55">
        <v>125</v>
      </c>
      <c r="D119" s="55">
        <v>1.2229939999999999</v>
      </c>
      <c r="E119" s="56">
        <v>124</v>
      </c>
      <c r="F119" s="57">
        <v>1.2289859999999999</v>
      </c>
      <c r="G119" s="54">
        <v>139</v>
      </c>
      <c r="H119" s="55">
        <v>1.251752</v>
      </c>
      <c r="I119" s="55">
        <f t="shared" si="3"/>
        <v>132</v>
      </c>
      <c r="J119" s="55">
        <v>1.2420059999999999</v>
      </c>
      <c r="K119" s="55">
        <f t="shared" si="4"/>
        <v>138</v>
      </c>
      <c r="L119" s="57">
        <v>1.251115</v>
      </c>
      <c r="M119" s="54">
        <v>139</v>
      </c>
      <c r="N119" s="55">
        <v>1.2002660000000001</v>
      </c>
      <c r="O119" s="56">
        <v>139</v>
      </c>
      <c r="P119" s="55">
        <v>1.198645</v>
      </c>
      <c r="Q119" s="55">
        <v>137</v>
      </c>
      <c r="R119" s="57">
        <v>1.1956819999999999</v>
      </c>
      <c r="S119" s="14"/>
      <c r="T119" s="14"/>
      <c r="U119" s="14"/>
      <c r="V119" s="8" cm="1">
        <f t="array" ref="V11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118)+1),6),"")</f>
        <v>0.33877299999999999</v>
      </c>
      <c r="W119" s="9">
        <f t="shared" si="5"/>
        <v>5554.092351141172</v>
      </c>
      <c r="Y119" s="30">
        <v>0.31892700000000002</v>
      </c>
      <c r="Z119" s="15"/>
      <c r="AA119" s="16"/>
      <c r="AB119" s="23">
        <v>1579279.8977777774</v>
      </c>
    </row>
    <row r="120" spans="1:28" x14ac:dyDescent="0.25">
      <c r="A120" s="54">
        <v>138</v>
      </c>
      <c r="B120" s="55">
        <v>1.228375</v>
      </c>
      <c r="C120" s="55">
        <v>124</v>
      </c>
      <c r="D120" s="55">
        <v>1.2207190000000001</v>
      </c>
      <c r="E120" s="56">
        <v>123</v>
      </c>
      <c r="F120" s="57">
        <v>1.2269939999999999</v>
      </c>
      <c r="G120" s="54">
        <v>138</v>
      </c>
      <c r="H120" s="55">
        <v>1.249916</v>
      </c>
      <c r="I120" s="55">
        <f t="shared" si="3"/>
        <v>131</v>
      </c>
      <c r="J120" s="55">
        <v>1.2399690000000001</v>
      </c>
      <c r="K120" s="55">
        <f t="shared" si="4"/>
        <v>137</v>
      </c>
      <c r="L120" s="57">
        <v>1.2483120000000001</v>
      </c>
      <c r="M120" s="54">
        <v>138</v>
      </c>
      <c r="N120" s="55">
        <v>1.196078</v>
      </c>
      <c r="O120" s="56">
        <v>138</v>
      </c>
      <c r="P120" s="55">
        <v>1.196</v>
      </c>
      <c r="Q120" s="55">
        <v>136</v>
      </c>
      <c r="R120" s="57">
        <v>1.1931909999999999</v>
      </c>
      <c r="S120" s="14"/>
      <c r="T120" s="14"/>
      <c r="U120" s="14"/>
      <c r="V120" s="8" cm="1">
        <f t="array" ref="V12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119)+1),6),"")</f>
        <v>0.34126400000000001</v>
      </c>
      <c r="W120" s="9">
        <f t="shared" si="5"/>
        <v>5594.9316271362868</v>
      </c>
      <c r="Y120" s="30">
        <v>0.32123000000000002</v>
      </c>
      <c r="Z120" s="15"/>
      <c r="AA120" s="16"/>
      <c r="AB120" s="23">
        <v>1589434.7133333329</v>
      </c>
    </row>
    <row r="121" spans="1:28" x14ac:dyDescent="0.25">
      <c r="A121" s="54">
        <v>137</v>
      </c>
      <c r="B121" s="55">
        <v>1.2248669999999999</v>
      </c>
      <c r="C121" s="55">
        <v>123</v>
      </c>
      <c r="D121" s="55">
        <v>1.2170019999999999</v>
      </c>
      <c r="E121" s="56">
        <v>122</v>
      </c>
      <c r="F121" s="57">
        <v>1.2230000000000001</v>
      </c>
      <c r="G121" s="54">
        <v>137</v>
      </c>
      <c r="H121" s="55">
        <v>1.2454769999999999</v>
      </c>
      <c r="I121" s="55">
        <f t="shared" si="3"/>
        <v>130</v>
      </c>
      <c r="J121" s="55">
        <v>1.235994</v>
      </c>
      <c r="K121" s="55">
        <f t="shared" si="4"/>
        <v>136</v>
      </c>
      <c r="L121" s="57">
        <v>1.2447029999999999</v>
      </c>
      <c r="M121" s="54">
        <v>137</v>
      </c>
      <c r="N121" s="55">
        <v>1.194037</v>
      </c>
      <c r="O121" s="56">
        <v>137</v>
      </c>
      <c r="P121" s="55">
        <v>1.193988</v>
      </c>
      <c r="Q121" s="55">
        <v>135</v>
      </c>
      <c r="R121" s="57">
        <v>1.1900059999999999</v>
      </c>
      <c r="S121" s="14"/>
      <c r="T121" s="14"/>
      <c r="U121" s="14"/>
      <c r="V121" s="8" cm="1">
        <f t="array" ref="V12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120)+1),6),"")</f>
        <v>0.34444900000000001</v>
      </c>
      <c r="W121" s="9">
        <f t="shared" si="5"/>
        <v>5647.1488467446516</v>
      </c>
      <c r="Y121" s="30">
        <v>0.32539600000000002</v>
      </c>
      <c r="Z121" s="15"/>
      <c r="AA121" s="16"/>
      <c r="AB121" s="23">
        <v>1599589.5288888884</v>
      </c>
    </row>
    <row r="122" spans="1:28" x14ac:dyDescent="0.25">
      <c r="A122" s="54">
        <v>136</v>
      </c>
      <c r="B122" s="55">
        <v>1.222197</v>
      </c>
      <c r="C122" s="55">
        <v>122</v>
      </c>
      <c r="D122" s="55">
        <v>1.2146680000000001</v>
      </c>
      <c r="E122" s="56">
        <v>121</v>
      </c>
      <c r="F122" s="57">
        <v>1.2207969999999999</v>
      </c>
      <c r="G122" s="54">
        <v>136</v>
      </c>
      <c r="H122" s="55">
        <v>1.241992</v>
      </c>
      <c r="I122" s="55">
        <f t="shared" si="3"/>
        <v>129</v>
      </c>
      <c r="J122" s="55">
        <v>1.2332190000000001</v>
      </c>
      <c r="K122" s="55">
        <f t="shared" si="4"/>
        <v>135</v>
      </c>
      <c r="L122" s="57">
        <v>1.24</v>
      </c>
      <c r="M122" s="54">
        <v>136</v>
      </c>
      <c r="N122" s="55">
        <v>1.1921269999999999</v>
      </c>
      <c r="O122" s="56">
        <v>136</v>
      </c>
      <c r="P122" s="55">
        <v>1.19198</v>
      </c>
      <c r="Q122" s="55">
        <v>134</v>
      </c>
      <c r="R122" s="57">
        <v>1.186102</v>
      </c>
      <c r="S122" s="14"/>
      <c r="T122" s="14"/>
      <c r="U122" s="14"/>
      <c r="V122" s="8" cm="1">
        <f t="array" ref="V12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121)+1),6),"")</f>
        <v>0.34835300000000002</v>
      </c>
      <c r="W122" s="9">
        <f t="shared" si="5"/>
        <v>5711.1538782520474</v>
      </c>
      <c r="Y122" s="30">
        <v>0.32762000000000002</v>
      </c>
      <c r="Z122" s="15"/>
      <c r="AA122" s="16"/>
      <c r="AB122" s="23">
        <v>1609744.3444444439</v>
      </c>
    </row>
    <row r="123" spans="1:28" x14ac:dyDescent="0.25">
      <c r="A123" s="54">
        <v>135</v>
      </c>
      <c r="B123" s="55">
        <v>1.220863</v>
      </c>
      <c r="C123" s="55">
        <v>121</v>
      </c>
      <c r="D123" s="55">
        <v>1.2110000000000001</v>
      </c>
      <c r="E123" s="56">
        <v>121</v>
      </c>
      <c r="F123" s="57">
        <v>1.2170000000000001</v>
      </c>
      <c r="G123" s="54">
        <v>135</v>
      </c>
      <c r="H123" s="55">
        <v>1.236</v>
      </c>
      <c r="I123" s="55">
        <f t="shared" si="3"/>
        <v>128</v>
      </c>
      <c r="J123" s="55">
        <v>1.2312149999999999</v>
      </c>
      <c r="K123" s="55">
        <f t="shared" si="4"/>
        <v>134</v>
      </c>
      <c r="L123" s="57">
        <v>1.236</v>
      </c>
      <c r="M123" s="54">
        <v>135</v>
      </c>
      <c r="N123" s="55">
        <v>1.1899919999999999</v>
      </c>
      <c r="O123" s="56">
        <v>135</v>
      </c>
      <c r="P123" s="55">
        <v>1.1885939999999999</v>
      </c>
      <c r="Q123" s="55">
        <v>133</v>
      </c>
      <c r="R123" s="57">
        <v>1.1820269999999999</v>
      </c>
      <c r="S123" s="14"/>
      <c r="T123" s="14"/>
      <c r="U123" s="14"/>
      <c r="V123" s="8" cm="1">
        <f t="array" ref="V12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122)+1),6),"")</f>
        <v>0.35242800000000002</v>
      </c>
      <c r="W123" s="9">
        <f t="shared" si="5"/>
        <v>5777.9624088341789</v>
      </c>
      <c r="Y123" s="30">
        <v>0.329766</v>
      </c>
      <c r="Z123" s="15">
        <v>33</v>
      </c>
      <c r="AA123" s="16">
        <v>1619899.16</v>
      </c>
      <c r="AB123" s="23">
        <v>1619899.1599999995</v>
      </c>
    </row>
    <row r="124" spans="1:28" x14ac:dyDescent="0.25">
      <c r="A124" s="54">
        <v>134</v>
      </c>
      <c r="B124" s="55">
        <v>1.2170000000000001</v>
      </c>
      <c r="C124" s="55">
        <v>120</v>
      </c>
      <c r="D124" s="55">
        <v>1.208672</v>
      </c>
      <c r="E124" s="56">
        <v>120</v>
      </c>
      <c r="F124" s="57">
        <v>1.2147030000000001</v>
      </c>
      <c r="G124" s="54">
        <v>134</v>
      </c>
      <c r="H124" s="55">
        <v>1.2340370000000001</v>
      </c>
      <c r="I124" s="55">
        <f t="shared" si="3"/>
        <v>127</v>
      </c>
      <c r="J124" s="55">
        <v>1.232</v>
      </c>
      <c r="K124" s="55">
        <f t="shared" si="4"/>
        <v>133</v>
      </c>
      <c r="L124" s="57">
        <v>1.233973</v>
      </c>
      <c r="M124" s="54">
        <v>134</v>
      </c>
      <c r="N124" s="55">
        <v>1.1862299999999999</v>
      </c>
      <c r="O124" s="56">
        <v>134</v>
      </c>
      <c r="P124" s="55">
        <v>1.185945</v>
      </c>
      <c r="Q124" s="55">
        <v>132</v>
      </c>
      <c r="R124" s="57">
        <v>1.178102</v>
      </c>
      <c r="S124" s="14"/>
      <c r="T124" s="14"/>
      <c r="U124" s="14"/>
      <c r="V124" s="8" cm="1">
        <f t="array" ref="V12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123)+1),6),"")</f>
        <v>0.35635299999999998</v>
      </c>
      <c r="W124" s="9">
        <f t="shared" si="5"/>
        <v>5842.3117297016297</v>
      </c>
      <c r="Y124" s="30">
        <v>0.33165699999999998</v>
      </c>
      <c r="Z124" s="15"/>
      <c r="AA124" s="16"/>
      <c r="AB124" s="23">
        <v>1630063.7977777773</v>
      </c>
    </row>
    <row r="125" spans="1:28" x14ac:dyDescent="0.25">
      <c r="A125" s="54">
        <v>133</v>
      </c>
      <c r="B125" s="55">
        <v>1.2148829999999999</v>
      </c>
      <c r="C125" s="55">
        <v>119</v>
      </c>
      <c r="D125" s="55">
        <v>1.2047300000000001</v>
      </c>
      <c r="E125" s="56">
        <v>118</v>
      </c>
      <c r="F125" s="57">
        <v>1.2099979999999999</v>
      </c>
      <c r="G125" s="54">
        <v>133</v>
      </c>
      <c r="H125" s="55">
        <v>1.232</v>
      </c>
      <c r="I125" s="55">
        <f t="shared" si="3"/>
        <v>126</v>
      </c>
      <c r="J125" s="55">
        <v>1.2299960000000001</v>
      </c>
      <c r="K125" s="55">
        <f t="shared" si="4"/>
        <v>132</v>
      </c>
      <c r="L125" s="57">
        <v>1.2319040000000001</v>
      </c>
      <c r="M125" s="54">
        <v>133</v>
      </c>
      <c r="N125" s="55">
        <v>1.1820269999999999</v>
      </c>
      <c r="O125" s="56">
        <v>133</v>
      </c>
      <c r="P125" s="55">
        <v>1.1817009999999999</v>
      </c>
      <c r="Q125" s="55">
        <v>131</v>
      </c>
      <c r="R125" s="57">
        <v>1.1778930000000001</v>
      </c>
      <c r="S125" s="14"/>
      <c r="T125" s="14"/>
      <c r="U125" s="14"/>
      <c r="V125" s="8" cm="1">
        <f t="array" ref="V12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124)+1),6),"")</f>
        <v>0.35656199999999999</v>
      </c>
      <c r="W125" s="9">
        <f t="shared" si="5"/>
        <v>5845.7382285707499</v>
      </c>
      <c r="Y125" s="30">
        <v>0.33604000000000001</v>
      </c>
      <c r="Z125" s="15"/>
      <c r="AA125" s="16"/>
      <c r="AB125" s="23">
        <v>1640228.4355555552</v>
      </c>
    </row>
    <row r="126" spans="1:28" x14ac:dyDescent="0.25">
      <c r="A126" s="54">
        <v>132</v>
      </c>
      <c r="B126" s="55">
        <v>1.210998</v>
      </c>
      <c r="C126" s="55">
        <v>118</v>
      </c>
      <c r="D126" s="55">
        <v>1.2009669999999999</v>
      </c>
      <c r="E126" s="56">
        <v>117</v>
      </c>
      <c r="F126" s="57">
        <v>1.2070000000000001</v>
      </c>
      <c r="G126" s="54">
        <v>132</v>
      </c>
      <c r="H126" s="55">
        <v>1.229889</v>
      </c>
      <c r="I126" s="55">
        <f t="shared" si="3"/>
        <v>125</v>
      </c>
      <c r="J126" s="55">
        <v>1.2279690000000001</v>
      </c>
      <c r="K126" s="55">
        <f t="shared" si="4"/>
        <v>131</v>
      </c>
      <c r="L126" s="57">
        <v>1.2282029999999999</v>
      </c>
      <c r="M126" s="54">
        <v>132</v>
      </c>
      <c r="N126" s="55">
        <v>1.179324</v>
      </c>
      <c r="O126" s="56">
        <v>132</v>
      </c>
      <c r="P126" s="55">
        <v>1.1779980000000001</v>
      </c>
      <c r="Q126" s="55">
        <v>130</v>
      </c>
      <c r="R126" s="57">
        <v>1.174604</v>
      </c>
      <c r="S126" s="14"/>
      <c r="T126" s="14"/>
      <c r="U126" s="14"/>
      <c r="V126" s="8" cm="1">
        <f t="array" ref="V12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125)+1),6),"")</f>
        <v>0.35985099999999998</v>
      </c>
      <c r="W126" s="9">
        <f t="shared" si="5"/>
        <v>5899.6605002479591</v>
      </c>
      <c r="Y126" s="30">
        <v>0.33824500000000002</v>
      </c>
      <c r="Z126" s="15"/>
      <c r="AA126" s="16"/>
      <c r="AB126" s="23">
        <v>1650393.073333333</v>
      </c>
    </row>
    <row r="127" spans="1:28" x14ac:dyDescent="0.25">
      <c r="A127" s="54">
        <v>131</v>
      </c>
      <c r="B127" s="55">
        <v>1.208996</v>
      </c>
      <c r="C127" s="55">
        <v>117</v>
      </c>
      <c r="D127" s="55">
        <v>1.1990019999999999</v>
      </c>
      <c r="E127" s="56">
        <v>116</v>
      </c>
      <c r="F127" s="57">
        <v>1.2028030000000001</v>
      </c>
      <c r="G127" s="54">
        <v>131</v>
      </c>
      <c r="H127" s="55">
        <v>1.2278929999999999</v>
      </c>
      <c r="I127" s="55">
        <f t="shared" si="3"/>
        <v>124</v>
      </c>
      <c r="J127" s="55">
        <v>1.2240139999999999</v>
      </c>
      <c r="K127" s="55">
        <f t="shared" si="4"/>
        <v>130</v>
      </c>
      <c r="L127" s="57">
        <v>1.2265999999999999</v>
      </c>
      <c r="M127" s="54">
        <v>131</v>
      </c>
      <c r="N127" s="55">
        <v>1.1759999999999999</v>
      </c>
      <c r="O127" s="56">
        <v>131</v>
      </c>
      <c r="P127" s="55">
        <v>1.1759999999999999</v>
      </c>
      <c r="Q127" s="55">
        <v>129</v>
      </c>
      <c r="R127" s="57">
        <v>1.1725779999999999</v>
      </c>
      <c r="S127" s="14"/>
      <c r="T127" s="14"/>
      <c r="U127" s="14"/>
      <c r="V127" s="8" cm="1">
        <f t="array" ref="V12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126)+1),6),"")</f>
        <v>0.361877</v>
      </c>
      <c r="W127" s="9">
        <f t="shared" si="5"/>
        <v>5932.876226127567</v>
      </c>
      <c r="Y127" s="30">
        <v>0.34124500000000002</v>
      </c>
      <c r="Z127" s="15"/>
      <c r="AA127" s="16"/>
      <c r="AB127" s="23">
        <v>1660557.7111111109</v>
      </c>
    </row>
    <row r="128" spans="1:28" x14ac:dyDescent="0.25">
      <c r="A128" s="54">
        <v>130</v>
      </c>
      <c r="B128" s="55">
        <v>1.206518</v>
      </c>
      <c r="C128" s="55">
        <v>116</v>
      </c>
      <c r="D128" s="55">
        <v>1.196877</v>
      </c>
      <c r="E128" s="56">
        <v>116</v>
      </c>
      <c r="F128" s="57">
        <v>1.2008460000000001</v>
      </c>
      <c r="G128" s="54">
        <v>130</v>
      </c>
      <c r="H128" s="55">
        <v>1.223992</v>
      </c>
      <c r="I128" s="55">
        <f t="shared" si="3"/>
        <v>123</v>
      </c>
      <c r="J128" s="55">
        <v>1.221881</v>
      </c>
      <c r="K128" s="55">
        <f t="shared" si="4"/>
        <v>129</v>
      </c>
      <c r="L128" s="57">
        <v>1.22316</v>
      </c>
      <c r="M128" s="54">
        <v>130</v>
      </c>
      <c r="N128" s="55">
        <v>1.1739999999999999</v>
      </c>
      <c r="O128" s="56">
        <v>130</v>
      </c>
      <c r="P128" s="55">
        <v>1.1739999999999999</v>
      </c>
      <c r="Q128" s="55">
        <v>128</v>
      </c>
      <c r="R128" s="57">
        <v>1.1699790000000001</v>
      </c>
      <c r="S128" s="14"/>
      <c r="T128" s="14"/>
      <c r="U128" s="14"/>
      <c r="V128" s="8" cm="1">
        <f t="array" ref="V12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127)+1),6),"")</f>
        <v>0.36447600000000002</v>
      </c>
      <c r="W128" s="9">
        <f t="shared" si="5"/>
        <v>5975.4861331172497</v>
      </c>
      <c r="Y128" s="30">
        <v>0.342976</v>
      </c>
      <c r="Z128" s="15"/>
      <c r="AA128" s="16"/>
      <c r="AB128" s="23">
        <v>1670722.3488888887</v>
      </c>
    </row>
    <row r="129" spans="1:28" x14ac:dyDescent="0.25">
      <c r="A129" s="54">
        <v>129</v>
      </c>
      <c r="B129" s="55">
        <v>1.201006</v>
      </c>
      <c r="C129" s="55">
        <v>115</v>
      </c>
      <c r="D129" s="55">
        <v>1.19499</v>
      </c>
      <c r="E129" s="56">
        <v>114</v>
      </c>
      <c r="F129" s="57">
        <v>1.1983809999999999</v>
      </c>
      <c r="G129" s="54">
        <v>129</v>
      </c>
      <c r="H129" s="55">
        <v>1.2213609999999999</v>
      </c>
      <c r="I129" s="55">
        <f t="shared" si="3"/>
        <v>122</v>
      </c>
      <c r="J129" s="55">
        <v>1.218</v>
      </c>
      <c r="K129" s="55">
        <f t="shared" si="4"/>
        <v>128</v>
      </c>
      <c r="L129" s="57">
        <v>1.220783</v>
      </c>
      <c r="M129" s="54">
        <v>129</v>
      </c>
      <c r="N129" s="55">
        <v>1.171805</v>
      </c>
      <c r="O129" s="56">
        <v>129</v>
      </c>
      <c r="P129" s="55">
        <v>1.1701189999999999</v>
      </c>
      <c r="Q129" s="55">
        <v>127</v>
      </c>
      <c r="R129" s="57">
        <v>1.1779999999999999</v>
      </c>
      <c r="S129" s="14"/>
      <c r="T129" s="14"/>
      <c r="U129" s="14"/>
      <c r="V129" s="8" cm="1">
        <f t="array" ref="V12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128)+1),6),"")</f>
        <v>0.35645500000000002</v>
      </c>
      <c r="W129" s="9">
        <f t="shared" si="5"/>
        <v>5843.9839923076124</v>
      </c>
      <c r="Y129" s="30">
        <v>0.34364099999999997</v>
      </c>
      <c r="Z129" s="15"/>
      <c r="AA129" s="16"/>
      <c r="AB129" s="23">
        <v>1680886.9866666666</v>
      </c>
    </row>
    <row r="130" spans="1:28" x14ac:dyDescent="0.25">
      <c r="A130" s="54">
        <v>128</v>
      </c>
      <c r="B130" s="55">
        <v>1.199047</v>
      </c>
      <c r="C130" s="55">
        <v>114</v>
      </c>
      <c r="D130" s="55">
        <v>1.1910000000000001</v>
      </c>
      <c r="E130" s="56">
        <v>114</v>
      </c>
      <c r="F130" s="57">
        <v>1.1949939999999999</v>
      </c>
      <c r="G130" s="54">
        <v>128</v>
      </c>
      <c r="H130" s="55">
        <v>1.218</v>
      </c>
      <c r="I130" s="55">
        <f t="shared" si="3"/>
        <v>121</v>
      </c>
      <c r="J130" s="55">
        <v>1.216</v>
      </c>
      <c r="K130" s="55">
        <f t="shared" si="4"/>
        <v>127</v>
      </c>
      <c r="L130" s="57">
        <v>1.2295199999999999</v>
      </c>
      <c r="M130" s="54">
        <v>128</v>
      </c>
      <c r="N130" s="55">
        <v>1.16984</v>
      </c>
      <c r="O130" s="56">
        <v>128</v>
      </c>
      <c r="P130" s="55">
        <v>1.1680699999999999</v>
      </c>
      <c r="Q130" s="55">
        <v>126</v>
      </c>
      <c r="R130" s="57">
        <v>1.1759999999999999</v>
      </c>
      <c r="S130" s="14"/>
      <c r="T130" s="14"/>
      <c r="U130" s="14"/>
      <c r="V130" s="8" cm="1">
        <f t="array" ref="V13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129)+1),6),"")</f>
        <v>0.35845500000000002</v>
      </c>
      <c r="W130" s="9">
        <f t="shared" si="5"/>
        <v>5876.7734551700078</v>
      </c>
      <c r="Y130" s="30">
        <v>0.34509899999999999</v>
      </c>
      <c r="Z130" s="15"/>
      <c r="AA130" s="16"/>
      <c r="AB130" s="23">
        <v>1691051.6244444444</v>
      </c>
    </row>
    <row r="131" spans="1:28" x14ac:dyDescent="0.25">
      <c r="A131" s="54">
        <v>127</v>
      </c>
      <c r="B131" s="55">
        <v>1.2090000000000001</v>
      </c>
      <c r="C131" s="55">
        <v>113</v>
      </c>
      <c r="D131" s="55">
        <v>1.187012</v>
      </c>
      <c r="E131" s="56">
        <v>116</v>
      </c>
      <c r="F131" s="57">
        <v>1.191033</v>
      </c>
      <c r="G131" s="54">
        <v>127</v>
      </c>
      <c r="H131" s="55">
        <v>1.223889</v>
      </c>
      <c r="I131" s="55">
        <f t="shared" si="3"/>
        <v>120</v>
      </c>
      <c r="J131" s="55">
        <v>1.212</v>
      </c>
      <c r="K131" s="55">
        <f t="shared" si="4"/>
        <v>126</v>
      </c>
      <c r="L131" s="57">
        <v>1.227395</v>
      </c>
      <c r="M131" s="54">
        <v>127</v>
      </c>
      <c r="N131" s="55">
        <v>1.1714960000000001</v>
      </c>
      <c r="O131" s="56">
        <v>127</v>
      </c>
      <c r="P131" s="55">
        <v>1.1739999999999999</v>
      </c>
      <c r="Q131" s="55">
        <v>125</v>
      </c>
      <c r="R131" s="57">
        <v>1.1739980000000001</v>
      </c>
      <c r="S131" s="14"/>
      <c r="T131" s="14"/>
      <c r="U131" s="14"/>
      <c r="V131" s="8" cm="1">
        <f t="array" ref="V13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130)+1),6),"")</f>
        <v>0.36045700000000003</v>
      </c>
      <c r="W131" s="9">
        <f t="shared" si="5"/>
        <v>5909.5957074952657</v>
      </c>
      <c r="Y131" s="30">
        <v>0.34780899999999998</v>
      </c>
      <c r="Z131" s="15"/>
      <c r="AA131" s="16"/>
      <c r="AB131" s="23">
        <v>1701216.2622222223</v>
      </c>
    </row>
    <row r="132" spans="1:28" x14ac:dyDescent="0.25">
      <c r="A132" s="54">
        <v>126</v>
      </c>
      <c r="B132" s="55">
        <v>1.207025</v>
      </c>
      <c r="C132" s="55">
        <v>112</v>
      </c>
      <c r="D132" s="55">
        <v>1.1830000000000001</v>
      </c>
      <c r="E132" s="56">
        <v>115</v>
      </c>
      <c r="F132" s="57">
        <v>1.1870000000000001</v>
      </c>
      <c r="G132" s="54">
        <v>126</v>
      </c>
      <c r="H132" s="55">
        <v>1.221943</v>
      </c>
      <c r="I132" s="55">
        <f t="shared" ref="I132:I195" si="6">I131-1</f>
        <v>119</v>
      </c>
      <c r="J132" s="55">
        <v>1.2080249999999999</v>
      </c>
      <c r="K132" s="55">
        <f t="shared" ref="K132:K195" si="7">K131-1</f>
        <v>125</v>
      </c>
      <c r="L132" s="57">
        <v>1.2237830000000001</v>
      </c>
      <c r="M132" s="54">
        <v>126</v>
      </c>
      <c r="N132" s="55">
        <v>1.169557</v>
      </c>
      <c r="O132" s="56">
        <v>126</v>
      </c>
      <c r="P132" s="55">
        <v>1.1710799999999999</v>
      </c>
      <c r="Q132" s="55">
        <v>124</v>
      </c>
      <c r="R132" s="57">
        <v>1.170004</v>
      </c>
      <c r="S132" s="14"/>
      <c r="T132" s="14"/>
      <c r="U132" s="14"/>
      <c r="V132" s="8" cm="1">
        <f t="array" ref="V13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131)+1),6),"")</f>
        <v>0.36445100000000002</v>
      </c>
      <c r="W132" s="9">
        <f t="shared" si="5"/>
        <v>5975.0762648314703</v>
      </c>
      <c r="Y132" s="30">
        <v>0.34937000000000001</v>
      </c>
      <c r="Z132" s="15">
        <v>32.5</v>
      </c>
      <c r="AA132" s="16">
        <v>1711380.9</v>
      </c>
      <c r="AB132" s="23">
        <v>1711380.9000000001</v>
      </c>
    </row>
    <row r="133" spans="1:28" x14ac:dyDescent="0.25">
      <c r="A133" s="54">
        <v>125</v>
      </c>
      <c r="B133" s="55">
        <v>1.2025349999999999</v>
      </c>
      <c r="C133" s="55">
        <v>111</v>
      </c>
      <c r="D133" s="55">
        <v>1.1787460000000001</v>
      </c>
      <c r="E133" s="56">
        <v>114</v>
      </c>
      <c r="F133" s="57">
        <v>1.1830609999999999</v>
      </c>
      <c r="G133" s="54">
        <v>125</v>
      </c>
      <c r="H133" s="55">
        <v>1.217994</v>
      </c>
      <c r="I133" s="55">
        <f t="shared" si="6"/>
        <v>118</v>
      </c>
      <c r="J133" s="55">
        <v>1.204002</v>
      </c>
      <c r="K133" s="55">
        <f t="shared" si="7"/>
        <v>124</v>
      </c>
      <c r="L133" s="57">
        <v>1.2217929999999999</v>
      </c>
      <c r="M133" s="54">
        <v>125</v>
      </c>
      <c r="N133" s="55">
        <v>1.1671860000000001</v>
      </c>
      <c r="O133" s="56">
        <v>125</v>
      </c>
      <c r="P133" s="55">
        <v>1.168658</v>
      </c>
      <c r="Q133" s="55">
        <v>123</v>
      </c>
      <c r="R133" s="57">
        <v>1.169441</v>
      </c>
      <c r="S133" s="14"/>
      <c r="T133" s="14"/>
      <c r="U133" s="14"/>
      <c r="V133" s="8" cm="1">
        <f t="array" ref="V13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132)+1),6),"")</f>
        <v>0.36501400000000001</v>
      </c>
      <c r="W133" s="9">
        <f t="shared" ref="W133:W196" si="8">V133*16394.7314311978</f>
        <v>5984.3064986272339</v>
      </c>
      <c r="Y133" s="30">
        <v>0.34998400000000002</v>
      </c>
      <c r="Z133" s="15"/>
      <c r="AA133" s="16"/>
      <c r="AB133" s="23">
        <v>1724092.8885714288</v>
      </c>
    </row>
    <row r="134" spans="1:28" x14ac:dyDescent="0.25">
      <c r="A134" s="54">
        <v>124</v>
      </c>
      <c r="B134" s="55">
        <v>1.2006520000000001</v>
      </c>
      <c r="C134" s="55">
        <v>110</v>
      </c>
      <c r="D134" s="55">
        <v>1.174992</v>
      </c>
      <c r="E134" s="56">
        <v>113</v>
      </c>
      <c r="F134" s="57">
        <v>1.1844669999999999</v>
      </c>
      <c r="G134" s="54">
        <v>124</v>
      </c>
      <c r="H134" s="55">
        <v>1.215957</v>
      </c>
      <c r="I134" s="55">
        <f t="shared" si="6"/>
        <v>117</v>
      </c>
      <c r="J134" s="55">
        <v>1.2019470000000001</v>
      </c>
      <c r="K134" s="55">
        <f t="shared" si="7"/>
        <v>123</v>
      </c>
      <c r="L134" s="57">
        <v>1.218</v>
      </c>
      <c r="M134" s="54">
        <v>124</v>
      </c>
      <c r="N134" s="55">
        <v>1.164234</v>
      </c>
      <c r="O134" s="56">
        <v>124</v>
      </c>
      <c r="P134" s="55">
        <v>1.1668419999999999</v>
      </c>
      <c r="Q134" s="55">
        <v>122</v>
      </c>
      <c r="R134" s="57">
        <v>1.1661269999999999</v>
      </c>
      <c r="S134" s="14"/>
      <c r="T134" s="14"/>
      <c r="U134" s="14"/>
      <c r="V134" s="8" cm="1">
        <f t="array" ref="V13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133)+1),6),"")</f>
        <v>0.36832799999999999</v>
      </c>
      <c r="W134" s="9">
        <f t="shared" si="8"/>
        <v>6038.6386385902233</v>
      </c>
      <c r="Y134" s="30">
        <v>0.35151300000000002</v>
      </c>
      <c r="Z134" s="15"/>
      <c r="AA134" s="16"/>
      <c r="AB134" s="23">
        <v>1736804.8771428575</v>
      </c>
    </row>
    <row r="135" spans="1:28" x14ac:dyDescent="0.25">
      <c r="A135" s="54">
        <v>123</v>
      </c>
      <c r="B135" s="55">
        <v>1.1988460000000001</v>
      </c>
      <c r="C135" s="55">
        <v>109</v>
      </c>
      <c r="D135" s="55">
        <v>1.173</v>
      </c>
      <c r="E135" s="56">
        <v>112</v>
      </c>
      <c r="F135" s="57">
        <v>1.1811039999999999</v>
      </c>
      <c r="G135" s="54">
        <v>123</v>
      </c>
      <c r="H135" s="55">
        <v>1.211957</v>
      </c>
      <c r="I135" s="55">
        <f t="shared" si="6"/>
        <v>116</v>
      </c>
      <c r="J135" s="55">
        <v>1.199986</v>
      </c>
      <c r="K135" s="55">
        <f t="shared" si="7"/>
        <v>122</v>
      </c>
      <c r="L135" s="57">
        <v>1.2159530000000001</v>
      </c>
      <c r="M135" s="54">
        <v>123</v>
      </c>
      <c r="N135" s="55">
        <v>1.1561250000000001</v>
      </c>
      <c r="O135" s="56">
        <v>123</v>
      </c>
      <c r="P135" s="55">
        <v>1.1641049999999999</v>
      </c>
      <c r="Q135" s="55">
        <v>121</v>
      </c>
      <c r="R135" s="57">
        <v>1.162512</v>
      </c>
      <c r="S135" s="14"/>
      <c r="T135" s="14"/>
      <c r="U135" s="14"/>
      <c r="V135" s="8" cm="1">
        <f t="array" ref="V13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134)+1),6),"")</f>
        <v>0.37194300000000002</v>
      </c>
      <c r="W135" s="9">
        <f t="shared" si="8"/>
        <v>6097.9055927140043</v>
      </c>
      <c r="Y135" s="30">
        <v>0.35444799999999999</v>
      </c>
      <c r="Z135" s="15"/>
      <c r="AA135" s="16"/>
      <c r="AB135" s="23">
        <v>1749516.8657142862</v>
      </c>
    </row>
    <row r="136" spans="1:28" x14ac:dyDescent="0.25">
      <c r="A136" s="54">
        <v>122</v>
      </c>
      <c r="B136" s="55">
        <v>1.1967209999999999</v>
      </c>
      <c r="C136" s="55">
        <v>108</v>
      </c>
      <c r="D136" s="55">
        <v>1.170912</v>
      </c>
      <c r="E136" s="56">
        <v>111</v>
      </c>
      <c r="F136" s="57">
        <v>1.179127</v>
      </c>
      <c r="G136" s="54">
        <v>122</v>
      </c>
      <c r="H136" s="55">
        <v>1.2099899999999999</v>
      </c>
      <c r="I136" s="55">
        <f t="shared" si="6"/>
        <v>115</v>
      </c>
      <c r="J136" s="55">
        <v>1.1964859999999999</v>
      </c>
      <c r="K136" s="55">
        <f t="shared" si="7"/>
        <v>121</v>
      </c>
      <c r="L136" s="57">
        <v>1.211986</v>
      </c>
      <c r="M136" s="54">
        <v>122</v>
      </c>
      <c r="N136" s="55">
        <v>1.154031</v>
      </c>
      <c r="O136" s="56">
        <v>122</v>
      </c>
      <c r="P136" s="55">
        <v>1.1577539999999999</v>
      </c>
      <c r="Q136" s="55">
        <v>120</v>
      </c>
      <c r="R136" s="57">
        <v>1.15625</v>
      </c>
      <c r="S136" s="14"/>
      <c r="T136" s="14"/>
      <c r="U136" s="14"/>
      <c r="V136" s="8" cm="1">
        <f t="array" ref="V13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135)+1),6),"")</f>
        <v>0.37820500000000001</v>
      </c>
      <c r="W136" s="9">
        <f t="shared" si="8"/>
        <v>6200.5694009361641</v>
      </c>
      <c r="Y136" s="30">
        <v>0.35672799999999999</v>
      </c>
      <c r="Z136" s="15"/>
      <c r="AA136" s="16"/>
      <c r="AB136" s="23">
        <v>1762228.8542857149</v>
      </c>
    </row>
    <row r="137" spans="1:28" x14ac:dyDescent="0.25">
      <c r="A137" s="54">
        <v>121</v>
      </c>
      <c r="B137" s="55">
        <v>1.1930289999999999</v>
      </c>
      <c r="C137" s="55">
        <v>107</v>
      </c>
      <c r="D137" s="55">
        <v>1.163168</v>
      </c>
      <c r="E137" s="56">
        <v>110</v>
      </c>
      <c r="F137" s="57">
        <v>1.1769240000000001</v>
      </c>
      <c r="G137" s="54">
        <v>121</v>
      </c>
      <c r="H137" s="55">
        <v>1.2041390000000001</v>
      </c>
      <c r="I137" s="55">
        <f t="shared" si="6"/>
        <v>114</v>
      </c>
      <c r="J137" s="55">
        <v>1.1944300000000001</v>
      </c>
      <c r="K137" s="55">
        <f t="shared" si="7"/>
        <v>120</v>
      </c>
      <c r="L137" s="57">
        <v>1.209973</v>
      </c>
      <c r="M137" s="54">
        <v>121</v>
      </c>
      <c r="N137" s="55">
        <v>1.152018</v>
      </c>
      <c r="O137" s="56">
        <v>121</v>
      </c>
      <c r="P137" s="55">
        <v>1.1547050000000001</v>
      </c>
      <c r="Q137" s="55">
        <v>119</v>
      </c>
      <c r="R137" s="57">
        <v>1.1539999999999999</v>
      </c>
      <c r="S137" s="14"/>
      <c r="T137" s="14"/>
      <c r="U137" s="14"/>
      <c r="V137" s="8" cm="1">
        <f t="array" ref="V13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136)+1),6),"")</f>
        <v>0.38045499999999999</v>
      </c>
      <c r="W137" s="9">
        <f t="shared" si="8"/>
        <v>6237.4575466563592</v>
      </c>
      <c r="Y137" s="30">
        <v>0.36097200000000002</v>
      </c>
      <c r="Z137" s="15"/>
      <c r="AA137" s="16"/>
      <c r="AB137" s="23">
        <v>1774940.8428571436</v>
      </c>
    </row>
    <row r="138" spans="1:28" x14ac:dyDescent="0.25">
      <c r="A138" s="54">
        <v>120</v>
      </c>
      <c r="B138" s="55">
        <v>1.190984</v>
      </c>
      <c r="C138" s="55">
        <v>106</v>
      </c>
      <c r="D138" s="55">
        <v>1.161</v>
      </c>
      <c r="E138" s="56">
        <v>109</v>
      </c>
      <c r="F138" s="57">
        <v>1.173373</v>
      </c>
      <c r="G138" s="54">
        <v>120</v>
      </c>
      <c r="H138" s="55">
        <v>1.2020040000000001</v>
      </c>
      <c r="I138" s="55">
        <f t="shared" si="6"/>
        <v>113</v>
      </c>
      <c r="J138" s="55">
        <v>1.1903090000000001</v>
      </c>
      <c r="K138" s="55">
        <f t="shared" si="7"/>
        <v>119</v>
      </c>
      <c r="L138" s="57">
        <v>1.2039120000000001</v>
      </c>
      <c r="M138" s="54">
        <v>120</v>
      </c>
      <c r="N138" s="55">
        <v>1.150002</v>
      </c>
      <c r="O138" s="56">
        <v>120</v>
      </c>
      <c r="P138" s="55">
        <v>1.153297</v>
      </c>
      <c r="Q138" s="55">
        <v>118</v>
      </c>
      <c r="R138" s="57">
        <v>1.1519999999999999</v>
      </c>
      <c r="S138" s="14"/>
      <c r="T138" s="14"/>
      <c r="U138" s="14"/>
      <c r="V138" s="8" cm="1">
        <f t="array" ref="V13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137)+1),6),"")</f>
        <v>0.38245499999999999</v>
      </c>
      <c r="W138" s="9">
        <f t="shared" si="8"/>
        <v>6270.2470095187546</v>
      </c>
      <c r="Y138" s="30">
        <v>0.36298799999999998</v>
      </c>
      <c r="Z138" s="15"/>
      <c r="AA138" s="16"/>
      <c r="AB138" s="23">
        <v>1787652.8314285723</v>
      </c>
    </row>
    <row r="139" spans="1:28" ht="13" thickBot="1" x14ac:dyDescent="0.3">
      <c r="A139" s="54">
        <v>119</v>
      </c>
      <c r="B139" s="55">
        <v>1.1870000000000001</v>
      </c>
      <c r="C139" s="55">
        <v>105</v>
      </c>
      <c r="D139" s="55">
        <v>1.159</v>
      </c>
      <c r="E139" s="56">
        <v>109</v>
      </c>
      <c r="F139" s="57">
        <v>1.171008</v>
      </c>
      <c r="G139" s="54">
        <v>119</v>
      </c>
      <c r="H139" s="55">
        <v>1.1997230000000001</v>
      </c>
      <c r="I139" s="55">
        <f t="shared" si="6"/>
        <v>112</v>
      </c>
      <c r="J139" s="55">
        <v>1.1876230000000001</v>
      </c>
      <c r="K139" s="55">
        <f t="shared" si="7"/>
        <v>118</v>
      </c>
      <c r="L139" s="57">
        <v>1.201883</v>
      </c>
      <c r="M139" s="54">
        <v>119</v>
      </c>
      <c r="N139" s="55">
        <v>1.1479980000000001</v>
      </c>
      <c r="O139" s="56">
        <v>119</v>
      </c>
      <c r="P139" s="55">
        <v>1.1499999999999999</v>
      </c>
      <c r="Q139" s="55">
        <v>117</v>
      </c>
      <c r="R139" s="57">
        <v>1.1499999999999999</v>
      </c>
      <c r="S139" s="14"/>
      <c r="T139" s="14"/>
      <c r="U139" s="14"/>
      <c r="V139" s="8" cm="1">
        <f t="array" ref="V13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138)+1),6),"")</f>
        <v>0.38445499999999999</v>
      </c>
      <c r="W139" s="9">
        <f t="shared" si="8"/>
        <v>6303.0364723811499</v>
      </c>
      <c r="Y139" s="31">
        <v>0.36497600000000002</v>
      </c>
      <c r="Z139" s="24">
        <v>32</v>
      </c>
      <c r="AA139" s="25">
        <v>1800364.82</v>
      </c>
      <c r="AB139" s="26">
        <v>1800364.820000001</v>
      </c>
    </row>
    <row r="140" spans="1:28" x14ac:dyDescent="0.25">
      <c r="A140" s="54">
        <v>118</v>
      </c>
      <c r="B140" s="55">
        <v>1.1831020000000001</v>
      </c>
      <c r="C140" s="55">
        <v>104</v>
      </c>
      <c r="D140" s="55">
        <v>1.1569860000000001</v>
      </c>
      <c r="E140" s="56">
        <v>108</v>
      </c>
      <c r="F140" s="57">
        <v>1.164814</v>
      </c>
      <c r="G140" s="54">
        <v>118</v>
      </c>
      <c r="H140" s="55">
        <v>1.1977640000000001</v>
      </c>
      <c r="I140" s="55">
        <f t="shared" si="6"/>
        <v>111</v>
      </c>
      <c r="J140" s="55">
        <v>1.1839999999999999</v>
      </c>
      <c r="K140" s="55">
        <f t="shared" si="7"/>
        <v>117</v>
      </c>
      <c r="L140" s="57">
        <v>1.1998690000000001</v>
      </c>
      <c r="M140" s="54">
        <v>118</v>
      </c>
      <c r="N140" s="55">
        <v>1.1456459999999999</v>
      </c>
      <c r="O140" s="56">
        <v>118</v>
      </c>
      <c r="P140" s="55">
        <v>1.1479999999999999</v>
      </c>
      <c r="Q140" s="55">
        <v>116</v>
      </c>
      <c r="R140" s="57">
        <v>1.1473770000000001</v>
      </c>
      <c r="S140" s="14"/>
      <c r="T140" s="14"/>
      <c r="U140" s="14"/>
      <c r="V140" s="8" cm="1">
        <f t="array" ref="V14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139)+1),6),"")</f>
        <v>0.38707799999999998</v>
      </c>
      <c r="W140" s="9">
        <f t="shared" si="8"/>
        <v>6346.0398529251815</v>
      </c>
      <c r="Y140" s="29"/>
      <c r="Z140" s="17"/>
      <c r="AA140" s="18"/>
      <c r="AB140" s="19"/>
    </row>
    <row r="141" spans="1:28" x14ac:dyDescent="0.25">
      <c r="A141" s="54">
        <v>117</v>
      </c>
      <c r="B141" s="55">
        <v>1.181</v>
      </c>
      <c r="C141" s="55">
        <v>103</v>
      </c>
      <c r="D141" s="55">
        <v>1.1549609999999999</v>
      </c>
      <c r="E141" s="56">
        <v>107</v>
      </c>
      <c r="F141" s="57">
        <v>1.161</v>
      </c>
      <c r="G141" s="54">
        <v>117</v>
      </c>
      <c r="H141" s="55">
        <v>1.193668</v>
      </c>
      <c r="I141" s="55">
        <f t="shared" si="6"/>
        <v>110</v>
      </c>
      <c r="J141" s="55">
        <v>1.1819999999999999</v>
      </c>
      <c r="K141" s="55">
        <f t="shared" si="7"/>
        <v>116</v>
      </c>
      <c r="L141" s="57">
        <v>1.197373</v>
      </c>
      <c r="M141" s="54">
        <v>117</v>
      </c>
      <c r="N141" s="55">
        <v>1.141945</v>
      </c>
      <c r="O141" s="56">
        <v>117</v>
      </c>
      <c r="P141" s="55">
        <v>1.14584</v>
      </c>
      <c r="Q141" s="55">
        <v>115</v>
      </c>
      <c r="R141" s="57">
        <v>1.1458809999999999</v>
      </c>
      <c r="S141" s="14"/>
      <c r="T141" s="14"/>
      <c r="U141" s="14"/>
      <c r="V141" s="8" cm="1">
        <f t="array" ref="V14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140)+1),6),"")</f>
        <v>0.38857399999999997</v>
      </c>
      <c r="W141" s="9">
        <f t="shared" si="8"/>
        <v>6370.5663711462539</v>
      </c>
      <c r="Y141" s="11"/>
      <c r="Z141" s="8"/>
      <c r="AA141" s="9"/>
      <c r="AB141" s="10"/>
    </row>
    <row r="142" spans="1:28" x14ac:dyDescent="0.25">
      <c r="A142" s="54">
        <v>116</v>
      </c>
      <c r="B142" s="55">
        <v>1.179</v>
      </c>
      <c r="C142" s="55">
        <v>102</v>
      </c>
      <c r="D142" s="55">
        <v>1.151016</v>
      </c>
      <c r="E142" s="56">
        <v>106</v>
      </c>
      <c r="F142" s="57">
        <v>1.159</v>
      </c>
      <c r="G142" s="54">
        <v>116</v>
      </c>
      <c r="H142" s="55">
        <v>1.1918089999999999</v>
      </c>
      <c r="I142" s="55">
        <f t="shared" si="6"/>
        <v>109</v>
      </c>
      <c r="J142" s="55">
        <v>1.18</v>
      </c>
      <c r="K142" s="55">
        <f t="shared" si="7"/>
        <v>115</v>
      </c>
      <c r="L142" s="57">
        <v>1.1944980000000001</v>
      </c>
      <c r="M142" s="54">
        <v>116</v>
      </c>
      <c r="N142" s="55">
        <v>1.1399360000000001</v>
      </c>
      <c r="O142" s="56">
        <v>116</v>
      </c>
      <c r="P142" s="55">
        <v>1.1419570000000001</v>
      </c>
      <c r="Q142" s="55">
        <v>114</v>
      </c>
      <c r="R142" s="57">
        <v>1.141939</v>
      </c>
      <c r="S142" s="14"/>
      <c r="T142" s="14"/>
      <c r="U142" s="14"/>
      <c r="V142" s="8" cm="1">
        <f t="array" ref="V14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141)+1),6),"")</f>
        <v>0.39251599999999998</v>
      </c>
      <c r="W142" s="9">
        <f t="shared" si="8"/>
        <v>6435.1944024480354</v>
      </c>
      <c r="Y142" s="11"/>
      <c r="Z142" s="8"/>
      <c r="AA142" s="9"/>
      <c r="AB142" s="10"/>
    </row>
    <row r="143" spans="1:28" x14ac:dyDescent="0.25">
      <c r="A143" s="54">
        <v>115</v>
      </c>
      <c r="B143" s="55">
        <v>1.176488</v>
      </c>
      <c r="C143" s="55">
        <v>101</v>
      </c>
      <c r="D143" s="55">
        <v>1.1492659999999999</v>
      </c>
      <c r="E143" s="56">
        <v>105</v>
      </c>
      <c r="F143" s="57">
        <v>1.156406</v>
      </c>
      <c r="G143" s="54">
        <v>115</v>
      </c>
      <c r="H143" s="55">
        <v>1.1879200000000001</v>
      </c>
      <c r="I143" s="55">
        <f t="shared" si="6"/>
        <v>108</v>
      </c>
      <c r="J143" s="55">
        <v>1.1774709999999999</v>
      </c>
      <c r="K143" s="55">
        <f t="shared" si="7"/>
        <v>114</v>
      </c>
      <c r="L143" s="57">
        <v>1.19191</v>
      </c>
      <c r="M143" s="54">
        <v>115</v>
      </c>
      <c r="N143" s="55">
        <v>1.136031</v>
      </c>
      <c r="O143" s="56">
        <v>115</v>
      </c>
      <c r="P143" s="55">
        <v>1.139988</v>
      </c>
      <c r="Q143" s="55">
        <v>113</v>
      </c>
      <c r="R143" s="57">
        <v>1.139953</v>
      </c>
      <c r="S143" s="14"/>
      <c r="T143" s="14"/>
      <c r="U143" s="14"/>
      <c r="V143" s="8" cm="1">
        <f t="array" ref="V14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142)+1),6),"")</f>
        <v>0.39450200000000002</v>
      </c>
      <c r="W143" s="9">
        <f t="shared" si="8"/>
        <v>6467.754339070395</v>
      </c>
      <c r="Y143" s="11"/>
      <c r="Z143" s="8"/>
      <c r="AA143" s="9"/>
      <c r="AB143" s="10"/>
    </row>
    <row r="144" spans="1:28" x14ac:dyDescent="0.25">
      <c r="A144" s="54">
        <v>114</v>
      </c>
      <c r="B144" s="55">
        <v>1.1748670000000001</v>
      </c>
      <c r="C144" s="55">
        <v>100</v>
      </c>
      <c r="D144" s="55">
        <v>1.145195</v>
      </c>
      <c r="E144" s="56">
        <v>104</v>
      </c>
      <c r="F144" s="57">
        <v>1.1547050000000001</v>
      </c>
      <c r="G144" s="54">
        <v>114</v>
      </c>
      <c r="H144" s="55">
        <v>1.1839999999999999</v>
      </c>
      <c r="I144" s="55">
        <f t="shared" si="6"/>
        <v>107</v>
      </c>
      <c r="J144" s="55">
        <v>1.17408</v>
      </c>
      <c r="K144" s="55">
        <f t="shared" si="7"/>
        <v>113</v>
      </c>
      <c r="L144" s="57">
        <v>1.1873009999999999</v>
      </c>
      <c r="M144" s="54">
        <v>114</v>
      </c>
      <c r="N144" s="55">
        <v>1.131961</v>
      </c>
      <c r="O144" s="56">
        <v>114</v>
      </c>
      <c r="P144" s="55">
        <v>1.1379649999999999</v>
      </c>
      <c r="Q144" s="55">
        <v>112</v>
      </c>
      <c r="R144" s="57">
        <v>1.137785</v>
      </c>
      <c r="S144" s="14"/>
      <c r="T144" s="14"/>
      <c r="U144" s="14"/>
      <c r="V144" s="8" cm="1">
        <f t="array" ref="V14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143)+1),6),"")</f>
        <v>0.39667000000000002</v>
      </c>
      <c r="W144" s="9">
        <f t="shared" si="8"/>
        <v>6503.2981168132319</v>
      </c>
      <c r="Y144" s="11"/>
      <c r="Z144" s="8"/>
      <c r="AA144" s="9"/>
      <c r="AB144" s="10"/>
    </row>
    <row r="145" spans="1:28" x14ac:dyDescent="0.25">
      <c r="A145" s="54">
        <v>113</v>
      </c>
      <c r="B145" s="55">
        <v>1.1716150000000001</v>
      </c>
      <c r="C145" s="55">
        <v>99</v>
      </c>
      <c r="D145" s="55">
        <v>1.1438569999999999</v>
      </c>
      <c r="E145" s="56">
        <v>103</v>
      </c>
      <c r="F145" s="57">
        <v>1.151049</v>
      </c>
      <c r="G145" s="54">
        <v>113</v>
      </c>
      <c r="H145" s="55">
        <v>1.1817249999999999</v>
      </c>
      <c r="I145" s="55">
        <f t="shared" si="6"/>
        <v>106</v>
      </c>
      <c r="J145" s="55">
        <v>1.1720410000000001</v>
      </c>
      <c r="K145" s="55">
        <f t="shared" si="7"/>
        <v>112</v>
      </c>
      <c r="L145" s="57">
        <v>1.1839980000000001</v>
      </c>
      <c r="M145" s="54">
        <v>113</v>
      </c>
      <c r="N145" s="55">
        <v>1.1294390000000001</v>
      </c>
      <c r="O145" s="56">
        <v>113</v>
      </c>
      <c r="P145" s="55">
        <v>1.1337660000000001</v>
      </c>
      <c r="Q145" s="55">
        <v>111</v>
      </c>
      <c r="R145" s="57">
        <v>1.1324749999999999</v>
      </c>
      <c r="S145" s="14"/>
      <c r="T145" s="14"/>
      <c r="U145" s="14"/>
      <c r="V145" s="8" cm="1">
        <f t="array" ref="V14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144)+1),6),"")</f>
        <v>0.40198</v>
      </c>
      <c r="W145" s="9">
        <f t="shared" si="8"/>
        <v>6590.3541407128923</v>
      </c>
      <c r="Y145" s="11"/>
      <c r="Z145" s="8"/>
      <c r="AA145" s="9"/>
      <c r="AB145" s="10"/>
    </row>
    <row r="146" spans="1:28" x14ac:dyDescent="0.25">
      <c r="A146" s="54">
        <v>112</v>
      </c>
      <c r="B146" s="55">
        <v>1.1690039999999999</v>
      </c>
      <c r="C146" s="55">
        <v>98</v>
      </c>
      <c r="D146" s="55">
        <v>1.1390229999999999</v>
      </c>
      <c r="E146" s="56">
        <v>102</v>
      </c>
      <c r="F146" s="57">
        <v>1.146998</v>
      </c>
      <c r="G146" s="54">
        <v>112</v>
      </c>
      <c r="H146" s="55">
        <v>1.1799280000000001</v>
      </c>
      <c r="I146" s="55">
        <f t="shared" si="6"/>
        <v>105</v>
      </c>
      <c r="J146" s="55">
        <v>1.16482</v>
      </c>
      <c r="K146" s="55">
        <f t="shared" si="7"/>
        <v>111</v>
      </c>
      <c r="L146" s="57">
        <v>1.180002</v>
      </c>
      <c r="M146" s="54">
        <v>112</v>
      </c>
      <c r="N146" s="55">
        <v>1.127645</v>
      </c>
      <c r="O146" s="56">
        <v>112</v>
      </c>
      <c r="P146" s="55">
        <v>1.1299999999999999</v>
      </c>
      <c r="Q146" s="55">
        <v>110</v>
      </c>
      <c r="R146" s="57">
        <v>1.129273</v>
      </c>
      <c r="S146" s="14"/>
      <c r="T146" s="14"/>
      <c r="U146" s="14"/>
      <c r="V146" s="8" cm="1">
        <f t="array" ref="V14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145)+1),6),"")</f>
        <v>0.40518199999999999</v>
      </c>
      <c r="W146" s="9">
        <f t="shared" si="8"/>
        <v>6642.8500707555868</v>
      </c>
      <c r="Y146" s="11"/>
      <c r="Z146" s="8"/>
      <c r="AA146" s="9"/>
      <c r="AB146" s="10"/>
    </row>
    <row r="147" spans="1:28" x14ac:dyDescent="0.25">
      <c r="A147" s="54">
        <v>111</v>
      </c>
      <c r="B147" s="55">
        <v>1.1610309999999999</v>
      </c>
      <c r="C147" s="55">
        <v>97</v>
      </c>
      <c r="D147" s="55">
        <v>1.1368050000000001</v>
      </c>
      <c r="E147" s="56">
        <v>100</v>
      </c>
      <c r="F147" s="57">
        <v>1.144889</v>
      </c>
      <c r="G147" s="54">
        <v>111</v>
      </c>
      <c r="H147" s="55">
        <v>1.1758690000000001</v>
      </c>
      <c r="I147" s="55">
        <f t="shared" si="6"/>
        <v>104</v>
      </c>
      <c r="J147" s="55">
        <v>1.162342</v>
      </c>
      <c r="K147" s="55">
        <f t="shared" si="7"/>
        <v>110</v>
      </c>
      <c r="L147" s="57">
        <v>1.1779409999999999</v>
      </c>
      <c r="M147" s="54">
        <v>111</v>
      </c>
      <c r="N147" s="55">
        <v>1.122967</v>
      </c>
      <c r="O147" s="56">
        <v>111</v>
      </c>
      <c r="P147" s="55">
        <v>1.1279999999999999</v>
      </c>
      <c r="Q147" s="55">
        <v>109</v>
      </c>
      <c r="R147" s="57">
        <v>1.1271929999999999</v>
      </c>
      <c r="S147" s="14"/>
      <c r="T147" s="14"/>
      <c r="U147" s="14"/>
      <c r="V147" s="8" cm="1">
        <f t="array" ref="V14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146)+1),6),"")</f>
        <v>0.40726200000000001</v>
      </c>
      <c r="W147" s="9">
        <f t="shared" si="8"/>
        <v>6676.9511121324786</v>
      </c>
      <c r="Y147" s="11">
        <f>Y139+0.02</f>
        <v>0.38497600000000004</v>
      </c>
      <c r="Z147" s="8">
        <v>31.5</v>
      </c>
      <c r="AA147" s="9">
        <v>1881606.38</v>
      </c>
      <c r="AB147" s="10"/>
    </row>
    <row r="148" spans="1:28" x14ac:dyDescent="0.25">
      <c r="A148" s="54">
        <v>110</v>
      </c>
      <c r="B148" s="55">
        <v>1.159254</v>
      </c>
      <c r="C148" s="55">
        <v>96</v>
      </c>
      <c r="D148" s="55">
        <v>1.133008</v>
      </c>
      <c r="E148" s="56">
        <v>99</v>
      </c>
      <c r="F148" s="57">
        <v>1.142871</v>
      </c>
      <c r="G148" s="54">
        <v>110</v>
      </c>
      <c r="H148" s="55">
        <v>1.173934</v>
      </c>
      <c r="I148" s="55">
        <f t="shared" si="6"/>
        <v>103</v>
      </c>
      <c r="J148" s="55">
        <v>1.1599999999999999</v>
      </c>
      <c r="K148" s="55">
        <f t="shared" si="7"/>
        <v>109</v>
      </c>
      <c r="L148" s="57">
        <v>1.1758930000000001</v>
      </c>
      <c r="M148" s="54">
        <v>110</v>
      </c>
      <c r="N148" s="55">
        <v>1.1200000000000001</v>
      </c>
      <c r="O148" s="56">
        <v>110</v>
      </c>
      <c r="P148" s="55">
        <v>1.125332</v>
      </c>
      <c r="Q148" s="55">
        <v>108</v>
      </c>
      <c r="R148" s="57">
        <v>1.1223749999999999</v>
      </c>
      <c r="S148" s="14"/>
      <c r="T148" s="14"/>
      <c r="U148" s="14"/>
      <c r="V148" s="8" cm="1">
        <f t="array" ref="V14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147)+1),6),"")</f>
        <v>0.41208</v>
      </c>
      <c r="W148" s="9">
        <f t="shared" si="8"/>
        <v>6755.94092816799</v>
      </c>
      <c r="Y148" s="11"/>
      <c r="Z148" s="8"/>
      <c r="AA148" s="9"/>
      <c r="AB148" s="10"/>
    </row>
    <row r="149" spans="1:28" x14ac:dyDescent="0.25">
      <c r="A149" s="54">
        <v>109</v>
      </c>
      <c r="B149" s="55">
        <v>1.157</v>
      </c>
      <c r="C149" s="55">
        <v>95</v>
      </c>
      <c r="D149" s="55">
        <v>1.132266</v>
      </c>
      <c r="E149" s="56">
        <v>98</v>
      </c>
      <c r="F149" s="57">
        <v>1.137834</v>
      </c>
      <c r="G149" s="54">
        <v>109</v>
      </c>
      <c r="H149" s="55">
        <v>1.169584</v>
      </c>
      <c r="I149" s="55">
        <f t="shared" si="6"/>
        <v>102</v>
      </c>
      <c r="J149" s="55">
        <v>1.15798</v>
      </c>
      <c r="K149" s="55">
        <f t="shared" si="7"/>
        <v>108</v>
      </c>
      <c r="L149" s="57">
        <v>1.1739139999999999</v>
      </c>
      <c r="M149" s="54">
        <v>109</v>
      </c>
      <c r="N149" s="55">
        <v>1.1179859999999999</v>
      </c>
      <c r="O149" s="56">
        <v>109</v>
      </c>
      <c r="P149" s="55">
        <v>1.1209880000000001</v>
      </c>
      <c r="Q149" s="55">
        <v>107</v>
      </c>
      <c r="R149" s="57">
        <v>1.120814</v>
      </c>
      <c r="S149" s="14"/>
      <c r="T149" s="14"/>
      <c r="U149" s="14"/>
      <c r="V149" s="8" cm="1">
        <f t="array" ref="V14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148)+1),6),"")</f>
        <v>0.41364099999999998</v>
      </c>
      <c r="W149" s="9">
        <f t="shared" si="8"/>
        <v>6781.533103932089</v>
      </c>
      <c r="Y149" s="11"/>
      <c r="Z149" s="8"/>
      <c r="AA149" s="9"/>
      <c r="AB149" s="10"/>
    </row>
    <row r="150" spans="1:28" x14ac:dyDescent="0.25">
      <c r="A150" s="54">
        <v>108</v>
      </c>
      <c r="B150" s="55">
        <v>1.155</v>
      </c>
      <c r="C150" s="55">
        <v>94</v>
      </c>
      <c r="D150" s="55">
        <v>1.127041</v>
      </c>
      <c r="E150" s="56">
        <v>97</v>
      </c>
      <c r="F150" s="57">
        <v>1.1350119999999999</v>
      </c>
      <c r="G150" s="54">
        <v>108</v>
      </c>
      <c r="H150" s="55">
        <v>1.163988</v>
      </c>
      <c r="I150" s="55">
        <f t="shared" si="6"/>
        <v>101</v>
      </c>
      <c r="J150" s="55">
        <v>1.155678</v>
      </c>
      <c r="K150" s="55">
        <f t="shared" si="7"/>
        <v>107</v>
      </c>
      <c r="L150" s="57">
        <v>1.171381</v>
      </c>
      <c r="M150" s="54">
        <v>108</v>
      </c>
      <c r="N150" s="55">
        <v>1.1159749999999999</v>
      </c>
      <c r="O150" s="56">
        <v>108</v>
      </c>
      <c r="P150" s="55">
        <v>1.1180019999999999</v>
      </c>
      <c r="Q150" s="55">
        <v>106</v>
      </c>
      <c r="R150" s="57">
        <v>1.1180000000000001</v>
      </c>
      <c r="S150" s="14"/>
      <c r="T150" s="14"/>
      <c r="U150" s="14"/>
      <c r="V150" s="8" cm="1">
        <f t="array" ref="V15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149)+1),6),"")</f>
        <v>0.41645500000000002</v>
      </c>
      <c r="W150" s="9">
        <f t="shared" si="8"/>
        <v>6827.6678781794808</v>
      </c>
      <c r="Y150" s="11"/>
      <c r="Z150" s="8"/>
      <c r="AA150" s="9"/>
      <c r="AB150" s="10"/>
    </row>
    <row r="151" spans="1:28" x14ac:dyDescent="0.25">
      <c r="A151" s="54">
        <v>107</v>
      </c>
      <c r="B151" s="55">
        <v>1.153</v>
      </c>
      <c r="C151" s="55">
        <v>93</v>
      </c>
      <c r="D151" s="55">
        <v>1.1251450000000001</v>
      </c>
      <c r="E151" s="56">
        <v>96</v>
      </c>
      <c r="F151" s="57">
        <v>1.133</v>
      </c>
      <c r="G151" s="54">
        <v>107</v>
      </c>
      <c r="H151" s="55">
        <v>1.1618889999999999</v>
      </c>
      <c r="I151" s="55">
        <f t="shared" si="6"/>
        <v>100</v>
      </c>
      <c r="J151" s="55">
        <v>1.153416</v>
      </c>
      <c r="K151" s="55">
        <f t="shared" si="7"/>
        <v>106</v>
      </c>
      <c r="L151" s="57">
        <v>1.1639999999999999</v>
      </c>
      <c r="M151" s="54">
        <v>107</v>
      </c>
      <c r="N151" s="55">
        <v>1.1118950000000001</v>
      </c>
      <c r="O151" s="56">
        <v>107</v>
      </c>
      <c r="P151" s="55">
        <v>1.1161110000000001</v>
      </c>
      <c r="Q151" s="55">
        <v>105</v>
      </c>
      <c r="R151" s="57">
        <v>1.1159920000000001</v>
      </c>
      <c r="S151" s="14"/>
      <c r="T151" s="14"/>
      <c r="U151" s="14"/>
      <c r="V151" s="8" cm="1">
        <f t="array" ref="V15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150)+1),6),"")</f>
        <v>0.41846299999999997</v>
      </c>
      <c r="W151" s="9">
        <f t="shared" si="8"/>
        <v>6860.5884988933249</v>
      </c>
      <c r="Y151" s="11"/>
      <c r="Z151" s="8"/>
      <c r="AA151" s="9"/>
      <c r="AB151" s="10"/>
    </row>
    <row r="152" spans="1:28" x14ac:dyDescent="0.25">
      <c r="A152" s="54">
        <v>106</v>
      </c>
      <c r="B152" s="55">
        <v>1.150973</v>
      </c>
      <c r="C152" s="55">
        <v>92</v>
      </c>
      <c r="D152" s="55">
        <v>1.1229199999999999</v>
      </c>
      <c r="E152" s="56">
        <v>95</v>
      </c>
      <c r="F152" s="57">
        <v>1.1309530000000001</v>
      </c>
      <c r="G152" s="54">
        <v>106</v>
      </c>
      <c r="H152" s="55">
        <v>1.159996</v>
      </c>
      <c r="I152" s="55">
        <f t="shared" si="6"/>
        <v>99</v>
      </c>
      <c r="J152" s="55">
        <v>1.148412</v>
      </c>
      <c r="K152" s="55">
        <f t="shared" si="7"/>
        <v>105</v>
      </c>
      <c r="L152" s="57">
        <v>1.1619489999999999</v>
      </c>
      <c r="M152" s="54">
        <v>106</v>
      </c>
      <c r="N152" s="55">
        <v>1.1090100000000001</v>
      </c>
      <c r="O152" s="56">
        <v>106</v>
      </c>
      <c r="P152" s="55">
        <v>1.1140000000000001</v>
      </c>
      <c r="Q152" s="55">
        <v>104</v>
      </c>
      <c r="R152" s="57">
        <v>1.1138159999999999</v>
      </c>
      <c r="S152" s="14"/>
      <c r="T152" s="14"/>
      <c r="U152" s="14"/>
      <c r="V152" s="8" cm="1">
        <f t="array" ref="V15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151)+1),6),"")</f>
        <v>0.42063899999999999</v>
      </c>
      <c r="W152" s="9">
        <f t="shared" si="8"/>
        <v>6896.2634344876114</v>
      </c>
      <c r="Y152" s="11"/>
      <c r="Z152" s="8"/>
      <c r="AA152" s="9"/>
      <c r="AB152" s="10"/>
    </row>
    <row r="153" spans="1:28" x14ac:dyDescent="0.25">
      <c r="A153" s="54">
        <v>105</v>
      </c>
      <c r="B153" s="55">
        <v>1.146965</v>
      </c>
      <c r="C153" s="55">
        <v>91</v>
      </c>
      <c r="D153" s="55">
        <v>1.1209690000000001</v>
      </c>
      <c r="E153" s="56">
        <v>94</v>
      </c>
      <c r="F153" s="57">
        <v>1.1266970000000001</v>
      </c>
      <c r="G153" s="54">
        <v>105</v>
      </c>
      <c r="H153" s="55">
        <v>1.156037</v>
      </c>
      <c r="I153" s="55">
        <f t="shared" si="6"/>
        <v>98</v>
      </c>
      <c r="J153" s="55">
        <v>1.1460330000000001</v>
      </c>
      <c r="K153" s="55">
        <f t="shared" si="7"/>
        <v>104</v>
      </c>
      <c r="L153" s="57">
        <v>1.159959</v>
      </c>
      <c r="M153" s="54">
        <v>105</v>
      </c>
      <c r="N153" s="55">
        <v>1.107137</v>
      </c>
      <c r="O153" s="56">
        <v>105</v>
      </c>
      <c r="P153" s="55">
        <v>1.109988</v>
      </c>
      <c r="Q153" s="55">
        <v>103</v>
      </c>
      <c r="R153" s="57">
        <v>1.1090899999999999</v>
      </c>
      <c r="S153" s="14"/>
      <c r="T153" s="14"/>
      <c r="U153" s="14"/>
      <c r="V153" s="8" cm="1">
        <f t="array" ref="V15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152)+1),6),"")</f>
        <v>0.42536499999999999</v>
      </c>
      <c r="W153" s="9">
        <f t="shared" si="8"/>
        <v>6973.7449352314525</v>
      </c>
      <c r="Y153" s="11"/>
      <c r="Z153" s="8"/>
      <c r="AA153" s="9"/>
      <c r="AB153" s="10"/>
    </row>
    <row r="154" spans="1:28" x14ac:dyDescent="0.25">
      <c r="A154" s="54">
        <v>104</v>
      </c>
      <c r="B154" s="55">
        <v>1.1449800000000001</v>
      </c>
      <c r="C154" s="55">
        <v>90</v>
      </c>
      <c r="D154" s="55">
        <v>1.1163130000000001</v>
      </c>
      <c r="E154" s="56">
        <v>93</v>
      </c>
      <c r="F154" s="57">
        <v>1.1229789999999999</v>
      </c>
      <c r="G154" s="54">
        <v>104</v>
      </c>
      <c r="H154" s="55">
        <v>1.1543460000000001</v>
      </c>
      <c r="I154" s="55">
        <f t="shared" si="6"/>
        <v>97</v>
      </c>
      <c r="J154" s="55">
        <v>1.1439999999999999</v>
      </c>
      <c r="K154" s="55">
        <f t="shared" si="7"/>
        <v>103</v>
      </c>
      <c r="L154" s="57">
        <v>1.1559999999999999</v>
      </c>
      <c r="M154" s="54">
        <v>104</v>
      </c>
      <c r="N154" s="55">
        <v>1.1020019999999999</v>
      </c>
      <c r="O154" s="56">
        <v>104</v>
      </c>
      <c r="P154" s="55">
        <v>1.107979</v>
      </c>
      <c r="Q154" s="55">
        <v>102</v>
      </c>
      <c r="R154" s="57">
        <v>1.106209</v>
      </c>
      <c r="S154" s="14"/>
      <c r="T154" s="14"/>
      <c r="U154" s="14"/>
      <c r="V154" s="8" cm="1">
        <f t="array" ref="V15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153)+1),6),"")</f>
        <v>0.42824600000000002</v>
      </c>
      <c r="W154" s="9">
        <f t="shared" si="8"/>
        <v>7020.9781564847335</v>
      </c>
      <c r="Y154" s="11">
        <f>Y147+0.02</f>
        <v>0.40497600000000006</v>
      </c>
      <c r="Z154" s="8">
        <v>31</v>
      </c>
      <c r="AA154" s="9">
        <v>1966669.19</v>
      </c>
      <c r="AB154" s="10"/>
    </row>
    <row r="155" spans="1:28" x14ac:dyDescent="0.25">
      <c r="A155" s="54">
        <v>103</v>
      </c>
      <c r="B155" s="55">
        <v>1.143</v>
      </c>
      <c r="C155" s="55">
        <v>89</v>
      </c>
      <c r="D155" s="55">
        <v>1.114895</v>
      </c>
      <c r="E155" s="56">
        <v>92</v>
      </c>
      <c r="F155" s="57">
        <v>1.120822</v>
      </c>
      <c r="G155" s="54">
        <v>103</v>
      </c>
      <c r="H155" s="55">
        <v>1.151748</v>
      </c>
      <c r="I155" s="55">
        <f t="shared" si="6"/>
        <v>96</v>
      </c>
      <c r="J155" s="55">
        <v>1.1400140000000001</v>
      </c>
      <c r="K155" s="55">
        <f t="shared" si="7"/>
        <v>102</v>
      </c>
      <c r="L155" s="57">
        <v>1.1539999999999999</v>
      </c>
      <c r="M155" s="54">
        <v>103</v>
      </c>
      <c r="N155" s="55">
        <v>1.099998</v>
      </c>
      <c r="O155" s="56">
        <v>103</v>
      </c>
      <c r="P155" s="55">
        <v>1.102014</v>
      </c>
      <c r="Q155" s="55">
        <v>101</v>
      </c>
      <c r="R155" s="57">
        <v>1.1020000000000001</v>
      </c>
      <c r="S155" s="14"/>
      <c r="T155" s="14"/>
      <c r="U155" s="14"/>
      <c r="V155" s="8" cm="1">
        <f t="array" ref="V15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154)+1),6),"")</f>
        <v>0.43245499999999998</v>
      </c>
      <c r="W155" s="9">
        <f t="shared" si="8"/>
        <v>7089.9835810786444</v>
      </c>
      <c r="Y155" s="11"/>
      <c r="Z155" s="8"/>
      <c r="AA155" s="9"/>
      <c r="AB155" s="10"/>
    </row>
    <row r="156" spans="1:28" x14ac:dyDescent="0.25">
      <c r="A156" s="54">
        <v>102</v>
      </c>
      <c r="B156" s="55">
        <v>1.1390389999999999</v>
      </c>
      <c r="C156" s="55">
        <v>88</v>
      </c>
      <c r="D156" s="55">
        <v>1.1114919999999999</v>
      </c>
      <c r="E156" s="56">
        <v>91</v>
      </c>
      <c r="F156" s="57">
        <v>1.1181410000000001</v>
      </c>
      <c r="G156" s="54">
        <v>102</v>
      </c>
      <c r="H156" s="55">
        <v>1.147977</v>
      </c>
      <c r="I156" s="55">
        <f t="shared" si="6"/>
        <v>95</v>
      </c>
      <c r="J156" s="55">
        <v>1.1359999999999999</v>
      </c>
      <c r="K156" s="55">
        <f t="shared" si="7"/>
        <v>101</v>
      </c>
      <c r="L156" s="57">
        <v>1.151127</v>
      </c>
      <c r="M156" s="54">
        <v>102</v>
      </c>
      <c r="N156" s="55">
        <v>1.097998</v>
      </c>
      <c r="O156" s="56">
        <v>102</v>
      </c>
      <c r="P156" s="55">
        <v>1.1000019999999999</v>
      </c>
      <c r="Q156" s="55">
        <v>100</v>
      </c>
      <c r="R156" s="57">
        <v>1.0997680000000001</v>
      </c>
      <c r="S156" s="14"/>
      <c r="T156" s="14"/>
      <c r="U156" s="14"/>
      <c r="V156" s="8" cm="1">
        <f t="array" ref="V15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155)+1),6),"")</f>
        <v>0.43468699999999999</v>
      </c>
      <c r="W156" s="9">
        <f t="shared" si="8"/>
        <v>7126.5766216330785</v>
      </c>
      <c r="Y156" s="11"/>
      <c r="Z156" s="8"/>
      <c r="AA156" s="9"/>
      <c r="AB156" s="10"/>
    </row>
    <row r="157" spans="1:28" x14ac:dyDescent="0.25">
      <c r="A157" s="54">
        <v>101</v>
      </c>
      <c r="B157" s="55">
        <v>1.1350020000000001</v>
      </c>
      <c r="C157" s="55">
        <v>87</v>
      </c>
      <c r="D157" s="55">
        <v>1.107002</v>
      </c>
      <c r="E157" s="56">
        <v>90</v>
      </c>
      <c r="F157" s="57">
        <v>1.1133519999999999</v>
      </c>
      <c r="G157" s="54">
        <v>101</v>
      </c>
      <c r="H157" s="55">
        <v>1.1458029999999999</v>
      </c>
      <c r="I157" s="55">
        <f t="shared" si="6"/>
        <v>94</v>
      </c>
      <c r="J157" s="55">
        <v>1.1339999999999999</v>
      </c>
      <c r="K157" s="55">
        <f t="shared" si="7"/>
        <v>100</v>
      </c>
      <c r="L157" s="57">
        <v>1.147904</v>
      </c>
      <c r="M157" s="54">
        <v>101</v>
      </c>
      <c r="N157" s="55">
        <v>1.0952949999999999</v>
      </c>
      <c r="O157" s="56">
        <v>101</v>
      </c>
      <c r="P157" s="55">
        <v>1.0980000000000001</v>
      </c>
      <c r="Q157" s="55">
        <v>99</v>
      </c>
      <c r="R157" s="57">
        <v>1.0980000000000001</v>
      </c>
      <c r="S157" s="14"/>
      <c r="T157" s="14"/>
      <c r="U157" s="14"/>
      <c r="V157" s="8" cm="1">
        <f t="array" ref="V15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156)+1),6),"")</f>
        <v>0.43645499999999998</v>
      </c>
      <c r="W157" s="9">
        <f t="shared" si="8"/>
        <v>7155.562506803436</v>
      </c>
      <c r="Y157" s="11"/>
      <c r="Z157" s="8"/>
      <c r="AA157" s="9"/>
      <c r="AB157" s="10"/>
    </row>
    <row r="158" spans="1:28" x14ac:dyDescent="0.25">
      <c r="A158" s="54">
        <v>100</v>
      </c>
      <c r="B158" s="55">
        <v>1.133</v>
      </c>
      <c r="C158" s="55">
        <v>86</v>
      </c>
      <c r="D158" s="55">
        <v>1.104484</v>
      </c>
      <c r="E158" s="56">
        <v>89</v>
      </c>
      <c r="F158" s="57">
        <v>1.110309</v>
      </c>
      <c r="G158" s="54">
        <v>100</v>
      </c>
      <c r="H158" s="55">
        <v>1.143926</v>
      </c>
      <c r="I158" s="55">
        <f t="shared" si="6"/>
        <v>93</v>
      </c>
      <c r="J158" s="55">
        <v>1.131947</v>
      </c>
      <c r="K158" s="55">
        <f t="shared" si="7"/>
        <v>99</v>
      </c>
      <c r="L158" s="57">
        <v>1.145775</v>
      </c>
      <c r="M158" s="54">
        <v>100</v>
      </c>
      <c r="N158" s="55">
        <v>1.0920700000000001</v>
      </c>
      <c r="O158" s="56">
        <v>100</v>
      </c>
      <c r="P158" s="55">
        <v>1.0959099999999999</v>
      </c>
      <c r="Q158" s="55">
        <v>98</v>
      </c>
      <c r="R158" s="57">
        <v>1.094652</v>
      </c>
      <c r="S158" s="14"/>
      <c r="T158" s="14"/>
      <c r="U158" s="14"/>
      <c r="V158" s="8" cm="1">
        <f t="array" ref="V15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157)+1),6),"")</f>
        <v>0.439803</v>
      </c>
      <c r="W158" s="9">
        <f t="shared" si="8"/>
        <v>7210.4520676350867</v>
      </c>
      <c r="Y158" s="11"/>
      <c r="Z158" s="8"/>
      <c r="AA158" s="9"/>
      <c r="AB158" s="10"/>
    </row>
    <row r="159" spans="1:28" x14ac:dyDescent="0.25">
      <c r="A159" s="54">
        <v>99</v>
      </c>
      <c r="B159" s="55">
        <v>1.131</v>
      </c>
      <c r="C159" s="55">
        <v>85</v>
      </c>
      <c r="D159" s="55">
        <v>1.103</v>
      </c>
      <c r="E159" s="56">
        <v>88</v>
      </c>
      <c r="F159" s="57">
        <v>1.106414</v>
      </c>
      <c r="G159" s="54">
        <v>99</v>
      </c>
      <c r="H159" s="55">
        <v>1.139689</v>
      </c>
      <c r="I159" s="55">
        <f t="shared" si="6"/>
        <v>92</v>
      </c>
      <c r="J159" s="55">
        <v>1.1279939999999999</v>
      </c>
      <c r="K159" s="55">
        <f t="shared" si="7"/>
        <v>98</v>
      </c>
      <c r="L159" s="57">
        <v>1.1437109999999999</v>
      </c>
      <c r="M159" s="54">
        <v>99</v>
      </c>
      <c r="N159" s="55">
        <v>1.0899099999999999</v>
      </c>
      <c r="O159" s="56">
        <v>99</v>
      </c>
      <c r="P159" s="55">
        <v>1.093502</v>
      </c>
      <c r="Q159" s="55">
        <v>97</v>
      </c>
      <c r="R159" s="57">
        <v>1.092076</v>
      </c>
      <c r="S159" s="14"/>
      <c r="T159" s="14"/>
      <c r="U159" s="14"/>
      <c r="V159" s="8" cm="1">
        <f t="array" ref="V15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158)+1),6),"")</f>
        <v>0.44237900000000002</v>
      </c>
      <c r="W159" s="9">
        <f t="shared" si="8"/>
        <v>7252.6848958018527</v>
      </c>
      <c r="Y159" s="11"/>
      <c r="AB159" s="10"/>
    </row>
    <row r="160" spans="1:28" x14ac:dyDescent="0.25">
      <c r="A160" s="54">
        <v>98</v>
      </c>
      <c r="B160" s="55">
        <v>1.1270100000000001</v>
      </c>
      <c r="C160" s="55">
        <v>84</v>
      </c>
      <c r="D160" s="55">
        <v>1.099064</v>
      </c>
      <c r="E160" s="56">
        <v>88</v>
      </c>
      <c r="F160" s="57">
        <v>1.1036459999999999</v>
      </c>
      <c r="G160" s="54">
        <v>98</v>
      </c>
      <c r="H160" s="55">
        <v>1.1359999999999999</v>
      </c>
      <c r="I160" s="55">
        <f t="shared" si="6"/>
        <v>91</v>
      </c>
      <c r="J160" s="55">
        <v>1.1240019999999999</v>
      </c>
      <c r="K160" s="55">
        <f t="shared" si="7"/>
        <v>97</v>
      </c>
      <c r="L160" s="57">
        <v>1.1383730000000001</v>
      </c>
      <c r="M160" s="54">
        <v>98</v>
      </c>
      <c r="N160" s="55">
        <v>1.0839529999999999</v>
      </c>
      <c r="O160" s="56">
        <v>98</v>
      </c>
      <c r="P160" s="55">
        <v>1.091215</v>
      </c>
      <c r="Q160" s="55">
        <v>96</v>
      </c>
      <c r="R160" s="57">
        <v>1.0899799999999999</v>
      </c>
      <c r="S160" s="14"/>
      <c r="T160" s="14"/>
      <c r="U160" s="14"/>
      <c r="V160" s="8" cm="1">
        <f t="array" ref="V16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159)+1),6),"")</f>
        <v>0.44447500000000001</v>
      </c>
      <c r="W160" s="9">
        <f t="shared" si="8"/>
        <v>7287.0482528816428</v>
      </c>
      <c r="Y160" s="11"/>
      <c r="Z160" s="8"/>
      <c r="AA160" s="9"/>
      <c r="AB160" s="10"/>
    </row>
    <row r="161" spans="1:28" x14ac:dyDescent="0.25">
      <c r="A161" s="54">
        <v>97</v>
      </c>
      <c r="B161" s="55">
        <v>1.123588</v>
      </c>
      <c r="C161" s="55">
        <v>83</v>
      </c>
      <c r="D161" s="55">
        <v>1.097035</v>
      </c>
      <c r="E161" s="56">
        <v>86</v>
      </c>
      <c r="F161" s="57">
        <v>1.1010720000000001</v>
      </c>
      <c r="G161" s="54">
        <v>97</v>
      </c>
      <c r="H161" s="55">
        <v>1.133826</v>
      </c>
      <c r="I161" s="55">
        <f t="shared" si="6"/>
        <v>90</v>
      </c>
      <c r="J161" s="55">
        <v>1.122012</v>
      </c>
      <c r="K161" s="55">
        <f t="shared" si="7"/>
        <v>96</v>
      </c>
      <c r="L161" s="57">
        <v>1.1359980000000001</v>
      </c>
      <c r="M161" s="54">
        <v>97</v>
      </c>
      <c r="N161" s="55">
        <v>1.0819259999999999</v>
      </c>
      <c r="O161" s="56">
        <v>97</v>
      </c>
      <c r="P161" s="55">
        <v>1.0858570000000001</v>
      </c>
      <c r="Q161" s="55">
        <v>95</v>
      </c>
      <c r="R161" s="57">
        <v>1.079189</v>
      </c>
      <c r="S161" s="14"/>
      <c r="T161" s="14"/>
      <c r="U161" s="14"/>
      <c r="V161" s="8" cm="1">
        <f t="array" ref="V16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160)+1),6),"")</f>
        <v>0.455266</v>
      </c>
      <c r="W161" s="9">
        <f t="shared" si="8"/>
        <v>7463.9637997556983</v>
      </c>
      <c r="Y161" s="11">
        <f>Y154+0.02</f>
        <v>0.42497600000000008</v>
      </c>
      <c r="Z161" s="8">
        <v>30.5</v>
      </c>
      <c r="AA161" s="9">
        <v>2049825.53</v>
      </c>
      <c r="AB161" s="10"/>
    </row>
    <row r="162" spans="1:28" x14ac:dyDescent="0.25">
      <c r="A162" s="54">
        <v>96</v>
      </c>
      <c r="B162" s="55">
        <v>1.122471</v>
      </c>
      <c r="C162" s="55">
        <v>82</v>
      </c>
      <c r="D162" s="55">
        <v>1.09484</v>
      </c>
      <c r="E162" s="56">
        <v>85</v>
      </c>
      <c r="F162" s="57">
        <v>1.0978889999999999</v>
      </c>
      <c r="G162" s="54">
        <v>96</v>
      </c>
      <c r="H162" s="55">
        <v>1.1312169999999999</v>
      </c>
      <c r="I162" s="55">
        <f t="shared" si="6"/>
        <v>89</v>
      </c>
      <c r="J162" s="55">
        <v>1.1199570000000001</v>
      </c>
      <c r="K162" s="55">
        <f t="shared" si="7"/>
        <v>95</v>
      </c>
      <c r="L162" s="57">
        <v>1.134018</v>
      </c>
      <c r="M162" s="54">
        <v>96</v>
      </c>
      <c r="N162" s="55">
        <v>1.0780000000000001</v>
      </c>
      <c r="O162" s="56">
        <v>96</v>
      </c>
      <c r="P162" s="55">
        <v>1.0820350000000001</v>
      </c>
      <c r="Q162" s="55">
        <v>94</v>
      </c>
      <c r="R162" s="57">
        <v>1.076074</v>
      </c>
      <c r="S162" s="14"/>
      <c r="T162" s="14"/>
      <c r="U162" s="14"/>
      <c r="V162" s="8" cm="1">
        <f t="array" ref="V16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161)+1),6),"")</f>
        <v>0.45838099999999998</v>
      </c>
      <c r="W162" s="9">
        <f t="shared" si="8"/>
        <v>7515.033388163879</v>
      </c>
      <c r="Y162" s="11"/>
      <c r="Z162" s="8"/>
      <c r="AA162" s="9"/>
      <c r="AB162" s="10"/>
    </row>
    <row r="163" spans="1:28" x14ac:dyDescent="0.25">
      <c r="A163" s="54">
        <v>95</v>
      </c>
      <c r="B163" s="55">
        <v>1.1149359999999999</v>
      </c>
      <c r="C163" s="55">
        <v>81</v>
      </c>
      <c r="D163" s="55">
        <v>1.0891230000000001</v>
      </c>
      <c r="E163" s="56">
        <v>84</v>
      </c>
      <c r="F163" s="57">
        <v>1.0950610000000001</v>
      </c>
      <c r="G163" s="54">
        <v>95</v>
      </c>
      <c r="H163" s="55">
        <v>1.127936</v>
      </c>
      <c r="I163" s="55">
        <f t="shared" si="6"/>
        <v>88</v>
      </c>
      <c r="J163" s="55">
        <v>1.1159920000000001</v>
      </c>
      <c r="K163" s="55">
        <f t="shared" si="7"/>
        <v>94</v>
      </c>
      <c r="L163" s="57">
        <v>1.1319999999999999</v>
      </c>
      <c r="M163" s="54">
        <v>95</v>
      </c>
      <c r="N163" s="55">
        <v>1.0744959999999999</v>
      </c>
      <c r="O163" s="56">
        <v>95</v>
      </c>
      <c r="P163" s="55">
        <v>1.0780000000000001</v>
      </c>
      <c r="Q163" s="55">
        <v>93</v>
      </c>
      <c r="R163" s="57">
        <v>1.0740019999999999</v>
      </c>
      <c r="S163" s="14"/>
      <c r="T163" s="14"/>
      <c r="U163" s="14"/>
      <c r="V163" s="8" cm="1">
        <f t="array" ref="V16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162)+1),6),"")</f>
        <v>0.460453</v>
      </c>
      <c r="W163" s="9">
        <f t="shared" si="8"/>
        <v>7549.0032716893211</v>
      </c>
      <c r="Y163" s="11"/>
      <c r="Z163" s="8"/>
      <c r="AA163" s="9"/>
      <c r="AB163" s="10"/>
    </row>
    <row r="164" spans="1:28" x14ac:dyDescent="0.25">
      <c r="A164" s="54">
        <v>94</v>
      </c>
      <c r="B164" s="55">
        <v>1.112975</v>
      </c>
      <c r="C164" s="55">
        <v>80</v>
      </c>
      <c r="D164" s="55">
        <v>1.0867560000000001</v>
      </c>
      <c r="E164" s="56">
        <v>83</v>
      </c>
      <c r="F164" s="57">
        <v>1.0895680000000001</v>
      </c>
      <c r="G164" s="54">
        <v>94</v>
      </c>
      <c r="H164" s="55">
        <v>1.124922</v>
      </c>
      <c r="I164" s="55">
        <f t="shared" si="6"/>
        <v>87</v>
      </c>
      <c r="J164" s="55">
        <v>1.1124160000000001</v>
      </c>
      <c r="K164" s="55">
        <f t="shared" si="7"/>
        <v>93</v>
      </c>
      <c r="L164" s="57">
        <v>1.1280019999999999</v>
      </c>
      <c r="M164" s="54">
        <v>94</v>
      </c>
      <c r="N164" s="55">
        <v>1.0721620000000001</v>
      </c>
      <c r="O164" s="56">
        <v>94</v>
      </c>
      <c r="P164" s="55">
        <v>1.075998</v>
      </c>
      <c r="Q164" s="55">
        <v>92</v>
      </c>
      <c r="R164" s="57">
        <v>1.0720000000000001</v>
      </c>
      <c r="S164" s="14"/>
      <c r="T164" s="14"/>
      <c r="U164" s="14"/>
      <c r="V164" s="8" cm="1">
        <f t="array" ref="V16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163)+1),6),"")</f>
        <v>0.462455</v>
      </c>
      <c r="W164" s="9">
        <f t="shared" si="8"/>
        <v>7581.8255240145791</v>
      </c>
      <c r="Y164" s="11"/>
      <c r="Z164" s="8"/>
      <c r="AA164" s="9"/>
      <c r="AB164" s="10"/>
    </row>
    <row r="165" spans="1:28" x14ac:dyDescent="0.25">
      <c r="A165" s="54">
        <v>93</v>
      </c>
      <c r="B165" s="55">
        <v>1.107</v>
      </c>
      <c r="C165" s="55">
        <v>79</v>
      </c>
      <c r="D165" s="55">
        <v>1.0798220000000001</v>
      </c>
      <c r="E165" s="56">
        <v>82</v>
      </c>
      <c r="F165" s="57">
        <v>1.0869709999999999</v>
      </c>
      <c r="G165" s="54">
        <v>93</v>
      </c>
      <c r="H165" s="55">
        <v>1.1220159999999999</v>
      </c>
      <c r="I165" s="55">
        <f t="shared" si="6"/>
        <v>86</v>
      </c>
      <c r="J165" s="55">
        <v>1.1080000000000001</v>
      </c>
      <c r="K165" s="55">
        <f t="shared" si="7"/>
        <v>92</v>
      </c>
      <c r="L165" s="57">
        <v>1.1258710000000001</v>
      </c>
      <c r="M165" s="54">
        <v>93</v>
      </c>
      <c r="N165" s="55">
        <v>1.0700430000000001</v>
      </c>
      <c r="O165" s="56">
        <v>93</v>
      </c>
      <c r="P165" s="55">
        <v>1.073949</v>
      </c>
      <c r="Q165" s="55">
        <v>91</v>
      </c>
      <c r="R165" s="57">
        <v>1.0700449999999999</v>
      </c>
      <c r="S165" s="14"/>
      <c r="T165" s="14"/>
      <c r="U165" s="14"/>
      <c r="V165" s="8" cm="1">
        <f t="array" ref="V16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164)+1),6),"")</f>
        <v>0.46440999999999999</v>
      </c>
      <c r="W165" s="9">
        <f t="shared" si="8"/>
        <v>7613.8772239625705</v>
      </c>
      <c r="Y165" s="11"/>
      <c r="Z165" s="8"/>
      <c r="AA165" s="9"/>
      <c r="AB165" s="10"/>
    </row>
    <row r="166" spans="1:28" x14ac:dyDescent="0.25">
      <c r="A166" s="54">
        <v>92</v>
      </c>
      <c r="B166" s="55">
        <v>1.1050040000000001</v>
      </c>
      <c r="C166" s="55">
        <v>78</v>
      </c>
      <c r="D166" s="55">
        <v>1.077002</v>
      </c>
      <c r="E166" s="56">
        <v>81</v>
      </c>
      <c r="F166" s="57">
        <v>1.0870329999999999</v>
      </c>
      <c r="G166" s="54">
        <v>92</v>
      </c>
      <c r="H166" s="55">
        <v>1.1200000000000001</v>
      </c>
      <c r="I166" s="55">
        <f t="shared" si="6"/>
        <v>85</v>
      </c>
      <c r="J166" s="55">
        <v>1.1059939999999999</v>
      </c>
      <c r="K166" s="55">
        <f t="shared" si="7"/>
        <v>91</v>
      </c>
      <c r="L166" s="57">
        <v>1.1236520000000001</v>
      </c>
      <c r="M166" s="54">
        <v>92</v>
      </c>
      <c r="N166" s="55">
        <v>1.06609</v>
      </c>
      <c r="O166" s="56">
        <v>92</v>
      </c>
      <c r="P166" s="55">
        <v>1.0718300000000001</v>
      </c>
      <c r="Q166" s="55">
        <v>90</v>
      </c>
      <c r="R166" s="57">
        <v>1.0659240000000001</v>
      </c>
      <c r="S166" s="14"/>
      <c r="T166" s="14"/>
      <c r="U166" s="14"/>
      <c r="V166" s="8" cm="1">
        <f t="array" ref="V16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165)+1),6),"")</f>
        <v>0.46853099999999998</v>
      </c>
      <c r="W166" s="9">
        <f t="shared" si="8"/>
        <v>7681.4399121905362</v>
      </c>
      <c r="Y166" s="11"/>
      <c r="Z166" s="8"/>
      <c r="AA166" s="9"/>
      <c r="AB166" s="10"/>
    </row>
    <row r="167" spans="1:28" x14ac:dyDescent="0.25">
      <c r="A167" s="54">
        <v>91</v>
      </c>
      <c r="B167" s="55">
        <v>1.103</v>
      </c>
      <c r="C167" s="55">
        <v>77</v>
      </c>
      <c r="D167" s="55">
        <v>1.075221</v>
      </c>
      <c r="E167" s="56">
        <v>80</v>
      </c>
      <c r="F167" s="57">
        <v>1.083332</v>
      </c>
      <c r="G167" s="54">
        <v>91</v>
      </c>
      <c r="H167" s="55">
        <v>1.1160000000000001</v>
      </c>
      <c r="I167" s="55">
        <f t="shared" si="6"/>
        <v>84</v>
      </c>
      <c r="J167" s="55">
        <v>1.103998</v>
      </c>
      <c r="K167" s="55">
        <f t="shared" si="7"/>
        <v>90</v>
      </c>
      <c r="L167" s="57">
        <v>1.1211409999999999</v>
      </c>
      <c r="M167" s="54">
        <v>91</v>
      </c>
      <c r="N167" s="55">
        <v>1.0614410000000001</v>
      </c>
      <c r="O167" s="56">
        <v>91</v>
      </c>
      <c r="P167" s="55">
        <v>1.069707</v>
      </c>
      <c r="Q167" s="55">
        <v>89</v>
      </c>
      <c r="R167" s="57">
        <v>1.0619430000000001</v>
      </c>
      <c r="S167" s="14"/>
      <c r="T167" s="14"/>
      <c r="U167" s="14"/>
      <c r="V167" s="8" cm="1">
        <f t="array" ref="V16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166)+1),6),"")</f>
        <v>0.47251199999999999</v>
      </c>
      <c r="W167" s="9">
        <f t="shared" si="8"/>
        <v>7746.7073380181346</v>
      </c>
      <c r="Y167" s="11"/>
      <c r="Z167" s="8"/>
      <c r="AA167" s="9"/>
      <c r="AB167" s="10"/>
    </row>
    <row r="168" spans="1:28" x14ac:dyDescent="0.25">
      <c r="A168" s="54">
        <v>90</v>
      </c>
      <c r="B168" s="55">
        <v>1.1010720000000001</v>
      </c>
      <c r="C168" s="55">
        <v>76</v>
      </c>
      <c r="D168" s="55">
        <v>1.0709200000000001</v>
      </c>
      <c r="E168" s="56">
        <v>80</v>
      </c>
      <c r="F168" s="57">
        <v>1.081105</v>
      </c>
      <c r="G168" s="54">
        <v>90</v>
      </c>
      <c r="H168" s="55">
        <v>1.1140060000000001</v>
      </c>
      <c r="I168" s="55">
        <f t="shared" si="6"/>
        <v>83</v>
      </c>
      <c r="J168" s="55">
        <v>1.0999859999999999</v>
      </c>
      <c r="K168" s="55">
        <f t="shared" si="7"/>
        <v>89</v>
      </c>
      <c r="L168" s="57">
        <v>1.1165860000000001</v>
      </c>
      <c r="M168" s="54">
        <v>90</v>
      </c>
      <c r="N168" s="55">
        <v>1.0596270000000001</v>
      </c>
      <c r="O168" s="56">
        <v>90</v>
      </c>
      <c r="P168" s="55">
        <v>1.0636049999999999</v>
      </c>
      <c r="Q168" s="55">
        <v>88</v>
      </c>
      <c r="R168" s="57">
        <v>1.059877</v>
      </c>
      <c r="S168" s="14"/>
      <c r="T168" s="14"/>
      <c r="U168" s="14"/>
      <c r="V168" s="8" cm="1">
        <f t="array" ref="V16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167)+1),6),"")</f>
        <v>0.474578</v>
      </c>
      <c r="W168" s="9">
        <f t="shared" si="8"/>
        <v>7780.5788531549897</v>
      </c>
      <c r="Y168" s="11"/>
      <c r="Z168" s="8"/>
      <c r="AA168" s="9"/>
      <c r="AB168" s="10"/>
    </row>
    <row r="169" spans="1:28" x14ac:dyDescent="0.25">
      <c r="A169" s="54">
        <v>89</v>
      </c>
      <c r="B169" s="55">
        <v>1.0982769999999999</v>
      </c>
      <c r="C169" s="55">
        <v>75</v>
      </c>
      <c r="D169" s="55">
        <v>1.0669839999999999</v>
      </c>
      <c r="E169" s="56">
        <v>78</v>
      </c>
      <c r="F169" s="57">
        <v>1.079</v>
      </c>
      <c r="G169" s="54">
        <v>89</v>
      </c>
      <c r="H169" s="55">
        <v>1.1088769999999999</v>
      </c>
      <c r="I169" s="55">
        <f t="shared" si="6"/>
        <v>82</v>
      </c>
      <c r="J169" s="55">
        <v>1.0979920000000001</v>
      </c>
      <c r="K169" s="55">
        <f t="shared" si="7"/>
        <v>88</v>
      </c>
      <c r="L169" s="57">
        <v>1.1140699999999999</v>
      </c>
      <c r="M169" s="54">
        <v>89</v>
      </c>
      <c r="N169" s="55">
        <v>1.0565610000000001</v>
      </c>
      <c r="O169" s="56">
        <v>89</v>
      </c>
      <c r="P169" s="55">
        <v>1.060066</v>
      </c>
      <c r="Q169" s="55">
        <v>87</v>
      </c>
      <c r="R169" s="57">
        <v>1.056125</v>
      </c>
      <c r="S169" s="14"/>
      <c r="T169" s="14"/>
      <c r="U169" s="14"/>
      <c r="V169" s="8" cm="1">
        <f t="array" ref="V16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168)+1),6),"")</f>
        <v>0.47832999999999998</v>
      </c>
      <c r="W169" s="9">
        <f t="shared" si="8"/>
        <v>7842.0918854848433</v>
      </c>
      <c r="Y169" s="11"/>
      <c r="Z169" s="8"/>
      <c r="AA169" s="9"/>
      <c r="AB169" s="10"/>
    </row>
    <row r="170" spans="1:28" x14ac:dyDescent="0.25">
      <c r="A170" s="54">
        <v>88</v>
      </c>
      <c r="B170" s="55">
        <v>1.096408</v>
      </c>
      <c r="C170" s="55">
        <v>74</v>
      </c>
      <c r="D170" s="55">
        <v>1.0646389999999999</v>
      </c>
      <c r="E170" s="56">
        <v>78</v>
      </c>
      <c r="F170" s="57">
        <v>1.0765020000000001</v>
      </c>
      <c r="G170" s="54">
        <v>88</v>
      </c>
      <c r="H170" s="55">
        <v>1.1069880000000001</v>
      </c>
      <c r="I170" s="55">
        <f t="shared" si="6"/>
        <v>81</v>
      </c>
      <c r="J170" s="55">
        <v>1.0957809999999999</v>
      </c>
      <c r="K170" s="55">
        <f t="shared" si="7"/>
        <v>87</v>
      </c>
      <c r="L170" s="57">
        <v>1.108039</v>
      </c>
      <c r="M170" s="54">
        <v>88</v>
      </c>
      <c r="N170" s="55">
        <v>1.0523769999999999</v>
      </c>
      <c r="O170" s="56">
        <v>88</v>
      </c>
      <c r="P170" s="55">
        <v>1.058025</v>
      </c>
      <c r="Q170" s="55">
        <v>86</v>
      </c>
      <c r="R170" s="57">
        <v>1.051895</v>
      </c>
      <c r="S170" s="14"/>
      <c r="T170" s="14"/>
      <c r="U170" s="14"/>
      <c r="V170" s="8" cm="1">
        <f t="array" ref="V17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169)+1),6),"")</f>
        <v>0.48255999999999999</v>
      </c>
      <c r="W170" s="9">
        <f t="shared" si="8"/>
        <v>7911.441599438811</v>
      </c>
      <c r="Y170" s="11"/>
      <c r="Z170" s="8"/>
      <c r="AA170" s="9"/>
      <c r="AB170" s="10"/>
    </row>
    <row r="171" spans="1:28" x14ac:dyDescent="0.25">
      <c r="A171" s="54">
        <v>87</v>
      </c>
      <c r="B171" s="55">
        <v>1.0944959999999999</v>
      </c>
      <c r="C171" s="55">
        <v>73</v>
      </c>
      <c r="D171" s="55">
        <v>1.0629120000000001</v>
      </c>
      <c r="E171" s="56">
        <v>77</v>
      </c>
      <c r="F171" s="57">
        <v>1.072166</v>
      </c>
      <c r="G171" s="54">
        <v>87</v>
      </c>
      <c r="H171" s="55">
        <v>1.1040000000000001</v>
      </c>
      <c r="I171" s="55">
        <f t="shared" si="6"/>
        <v>80</v>
      </c>
      <c r="J171" s="55">
        <v>1.089961</v>
      </c>
      <c r="K171" s="55">
        <f t="shared" si="7"/>
        <v>86</v>
      </c>
      <c r="L171" s="57">
        <v>1.1060099999999999</v>
      </c>
      <c r="M171" s="54">
        <v>87</v>
      </c>
      <c r="N171" s="55">
        <v>1.0499590000000001</v>
      </c>
      <c r="O171" s="56">
        <v>87</v>
      </c>
      <c r="P171" s="55">
        <v>1.0546679999999999</v>
      </c>
      <c r="Q171" s="55">
        <v>85</v>
      </c>
      <c r="R171" s="57">
        <v>1.0498130000000001</v>
      </c>
      <c r="S171" s="14"/>
      <c r="T171" s="14"/>
      <c r="U171" s="14"/>
      <c r="V171" s="8" cm="1">
        <f t="array" ref="V17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170)+1),6),"")</f>
        <v>0.48464200000000002</v>
      </c>
      <c r="W171" s="9">
        <f t="shared" si="8"/>
        <v>7945.5754302785645</v>
      </c>
      <c r="Y171" s="11"/>
      <c r="Z171" s="8"/>
      <c r="AA171" s="9"/>
      <c r="AB171" s="10"/>
    </row>
    <row r="172" spans="1:28" x14ac:dyDescent="0.25">
      <c r="A172" s="54">
        <v>86</v>
      </c>
      <c r="B172" s="55">
        <v>1.088902</v>
      </c>
      <c r="C172" s="55">
        <v>72</v>
      </c>
      <c r="D172" s="55">
        <v>1.0574570000000001</v>
      </c>
      <c r="E172" s="56">
        <v>76</v>
      </c>
      <c r="F172" s="57">
        <v>1.0670660000000001</v>
      </c>
      <c r="G172" s="54">
        <v>86</v>
      </c>
      <c r="H172" s="55">
        <v>1.101996</v>
      </c>
      <c r="I172" s="55">
        <f t="shared" si="6"/>
        <v>79</v>
      </c>
      <c r="J172" s="55">
        <v>1.087969</v>
      </c>
      <c r="K172" s="55">
        <f t="shared" si="7"/>
        <v>85</v>
      </c>
      <c r="L172" s="57">
        <v>1.1040000000000001</v>
      </c>
      <c r="M172" s="54">
        <v>86</v>
      </c>
      <c r="N172" s="55">
        <v>1.0479039999999999</v>
      </c>
      <c r="O172" s="56">
        <v>86</v>
      </c>
      <c r="P172" s="55">
        <v>1.0501290000000001</v>
      </c>
      <c r="Q172" s="55">
        <v>84</v>
      </c>
      <c r="R172" s="57">
        <v>1.047031</v>
      </c>
      <c r="S172" s="14"/>
      <c r="T172" s="14"/>
      <c r="U172" s="14"/>
      <c r="V172" s="8" cm="1">
        <f t="array" ref="V17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171)+1),6),"")</f>
        <v>0.48742400000000002</v>
      </c>
      <c r="W172" s="9">
        <f t="shared" si="8"/>
        <v>7991.1855731201576</v>
      </c>
      <c r="Y172" s="11"/>
      <c r="Z172" s="8"/>
      <c r="AA172" s="9"/>
      <c r="AB172" s="10"/>
    </row>
    <row r="173" spans="1:28" x14ac:dyDescent="0.25">
      <c r="A173" s="54">
        <v>85</v>
      </c>
      <c r="B173" s="55">
        <v>1.0853870000000001</v>
      </c>
      <c r="C173" s="55">
        <v>71</v>
      </c>
      <c r="D173" s="55">
        <v>1.0549919999999999</v>
      </c>
      <c r="E173" s="56">
        <v>75</v>
      </c>
      <c r="F173" s="57">
        <v>1.0649900000000001</v>
      </c>
      <c r="G173" s="54">
        <v>85</v>
      </c>
      <c r="H173" s="55">
        <v>1.098096</v>
      </c>
      <c r="I173" s="55">
        <f t="shared" si="6"/>
        <v>78</v>
      </c>
      <c r="J173" s="55">
        <v>1.0840209999999999</v>
      </c>
      <c r="K173" s="55">
        <f t="shared" si="7"/>
        <v>84</v>
      </c>
      <c r="L173" s="57">
        <v>1.1020000000000001</v>
      </c>
      <c r="M173" s="54">
        <v>85</v>
      </c>
      <c r="N173" s="55">
        <v>1.045328</v>
      </c>
      <c r="O173" s="56">
        <v>85</v>
      </c>
      <c r="P173" s="55">
        <v>1.0479959999999999</v>
      </c>
      <c r="Q173" s="55">
        <v>83</v>
      </c>
      <c r="R173" s="57">
        <v>1.0457209999999999</v>
      </c>
      <c r="S173" s="14"/>
      <c r="T173" s="14"/>
      <c r="U173" s="14"/>
      <c r="V173" s="8" cm="1">
        <f t="array" ref="V17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172)+1),6),"")</f>
        <v>0.488734</v>
      </c>
      <c r="W173" s="9">
        <f t="shared" si="8"/>
        <v>8012.6626712950256</v>
      </c>
      <c r="Y173" s="11"/>
      <c r="Z173" s="8"/>
      <c r="AA173" s="9"/>
      <c r="AB173" s="10"/>
    </row>
    <row r="174" spans="1:28" x14ac:dyDescent="0.25">
      <c r="A174" s="54">
        <v>84</v>
      </c>
      <c r="B174" s="55">
        <v>1.083</v>
      </c>
      <c r="C174" s="55">
        <v>70</v>
      </c>
      <c r="D174" s="55">
        <v>1.0528010000000001</v>
      </c>
      <c r="E174" s="56">
        <v>74</v>
      </c>
      <c r="F174" s="57">
        <v>1.0620510000000001</v>
      </c>
      <c r="G174" s="54">
        <v>84</v>
      </c>
      <c r="H174" s="55">
        <v>1.0963130000000001</v>
      </c>
      <c r="I174" s="55">
        <f t="shared" si="6"/>
        <v>77</v>
      </c>
      <c r="J174" s="55">
        <v>1.0820000000000001</v>
      </c>
      <c r="K174" s="55">
        <f t="shared" si="7"/>
        <v>83</v>
      </c>
      <c r="L174" s="57">
        <v>1.099494</v>
      </c>
      <c r="M174" s="54">
        <v>84</v>
      </c>
      <c r="N174" s="55">
        <v>1.0429729999999999</v>
      </c>
      <c r="O174" s="56">
        <v>84</v>
      </c>
      <c r="P174" s="55">
        <v>1.046</v>
      </c>
      <c r="Q174" s="55">
        <v>82</v>
      </c>
      <c r="R174" s="57">
        <v>1.0429200000000001</v>
      </c>
      <c r="S174" s="14"/>
      <c r="T174" s="14"/>
      <c r="U174" s="14"/>
      <c r="V174" s="8" cm="1">
        <f t="array" ref="V17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173)+1),6),"")</f>
        <v>0.491535</v>
      </c>
      <c r="W174" s="9">
        <f t="shared" si="8"/>
        <v>8058.5843140338111</v>
      </c>
      <c r="Y174" s="11"/>
      <c r="Z174" s="8"/>
      <c r="AA174" s="9"/>
      <c r="AB174" s="10"/>
    </row>
    <row r="175" spans="1:28" x14ac:dyDescent="0.25">
      <c r="A175" s="54">
        <v>83</v>
      </c>
      <c r="B175" s="55">
        <v>1.080959</v>
      </c>
      <c r="C175" s="55">
        <v>69</v>
      </c>
      <c r="D175" s="55">
        <v>1.0509299999999999</v>
      </c>
      <c r="E175" s="56">
        <v>73</v>
      </c>
      <c r="F175" s="57">
        <v>1.057129</v>
      </c>
      <c r="G175" s="54">
        <v>83</v>
      </c>
      <c r="H175" s="55">
        <v>1.0911740000000001</v>
      </c>
      <c r="I175" s="55">
        <f t="shared" si="6"/>
        <v>76</v>
      </c>
      <c r="J175" s="55">
        <v>1.08</v>
      </c>
      <c r="K175" s="55">
        <f t="shared" si="7"/>
        <v>82</v>
      </c>
      <c r="L175" s="57">
        <v>1.097469</v>
      </c>
      <c r="M175" s="54">
        <v>83</v>
      </c>
      <c r="N175" s="55">
        <v>1.0371969999999999</v>
      </c>
      <c r="O175" s="56">
        <v>83</v>
      </c>
      <c r="P175" s="55">
        <v>1.043998</v>
      </c>
      <c r="Q175" s="55">
        <v>81</v>
      </c>
      <c r="R175" s="57">
        <v>1.0394490000000001</v>
      </c>
      <c r="S175" s="14"/>
      <c r="T175" s="14"/>
      <c r="U175" s="14"/>
      <c r="V175" s="8" cm="1">
        <f t="array" ref="V17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174)+1),6),"")</f>
        <v>0.495006</v>
      </c>
      <c r="W175" s="9">
        <f t="shared" si="8"/>
        <v>8115.4904268314986</v>
      </c>
      <c r="Y175" s="11"/>
      <c r="Z175" s="8"/>
      <c r="AA175" s="9"/>
      <c r="AB175" s="10"/>
    </row>
    <row r="176" spans="1:28" x14ac:dyDescent="0.25">
      <c r="A176" s="54">
        <v>82</v>
      </c>
      <c r="B176" s="55">
        <v>1.079</v>
      </c>
      <c r="C176" s="55">
        <v>68</v>
      </c>
      <c r="D176" s="55">
        <v>1.0478479999999999</v>
      </c>
      <c r="E176" s="56">
        <v>73</v>
      </c>
      <c r="F176" s="57">
        <v>1.0549729999999999</v>
      </c>
      <c r="G176" s="54">
        <v>82</v>
      </c>
      <c r="H176" s="55">
        <v>1.0881190000000001</v>
      </c>
      <c r="I176" s="55">
        <f t="shared" si="6"/>
        <v>75</v>
      </c>
      <c r="J176" s="55">
        <v>1.0775349999999999</v>
      </c>
      <c r="K176" s="55">
        <f t="shared" si="7"/>
        <v>81</v>
      </c>
      <c r="L176" s="57">
        <v>1.0924430000000001</v>
      </c>
      <c r="M176" s="54">
        <v>82</v>
      </c>
      <c r="N176" s="55">
        <v>1.032867</v>
      </c>
      <c r="O176" s="56">
        <v>82</v>
      </c>
      <c r="P176" s="55">
        <v>1.041992</v>
      </c>
      <c r="Q176" s="55">
        <v>80</v>
      </c>
      <c r="R176" s="57">
        <v>1.033779</v>
      </c>
      <c r="S176" s="14"/>
      <c r="T176" s="14"/>
      <c r="U176" s="14"/>
      <c r="V176" s="8" cm="1">
        <f t="array" ref="V17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175)+1),6),"")</f>
        <v>0.50067600000000001</v>
      </c>
      <c r="W176" s="9">
        <f t="shared" si="8"/>
        <v>8208.4485540463902</v>
      </c>
      <c r="Y176" s="11"/>
      <c r="Z176" s="8"/>
      <c r="AA176" s="9"/>
      <c r="AB176" s="10"/>
    </row>
    <row r="177" spans="1:28" x14ac:dyDescent="0.25">
      <c r="A177" s="54">
        <v>81</v>
      </c>
      <c r="B177" s="55">
        <v>1.0758589999999999</v>
      </c>
      <c r="C177" s="55">
        <v>67</v>
      </c>
      <c r="D177" s="55">
        <v>1.045715</v>
      </c>
      <c r="E177" s="56">
        <v>71</v>
      </c>
      <c r="F177" s="57">
        <v>1.052891</v>
      </c>
      <c r="G177" s="54">
        <v>81</v>
      </c>
      <c r="H177" s="55">
        <v>1.0840700000000001</v>
      </c>
      <c r="I177" s="55">
        <f t="shared" si="6"/>
        <v>74</v>
      </c>
      <c r="J177" s="55">
        <v>1.0744370000000001</v>
      </c>
      <c r="K177" s="55">
        <f t="shared" si="7"/>
        <v>80</v>
      </c>
      <c r="L177" s="57">
        <v>1.088238</v>
      </c>
      <c r="M177" s="54">
        <v>81</v>
      </c>
      <c r="N177" s="55">
        <v>1.0300800000000001</v>
      </c>
      <c r="O177" s="56">
        <v>81</v>
      </c>
      <c r="P177" s="55">
        <v>1.0361579999999999</v>
      </c>
      <c r="Q177" s="55">
        <v>79</v>
      </c>
      <c r="R177" s="57">
        <v>1.0301450000000001</v>
      </c>
      <c r="S177" s="14"/>
      <c r="T177" s="14"/>
      <c r="U177" s="14"/>
      <c r="V177" s="8" cm="1">
        <f t="array" ref="V17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176)+1),6),"")</f>
        <v>0.50431000000000004</v>
      </c>
      <c r="W177" s="9">
        <f t="shared" si="8"/>
        <v>8268.0270080673636</v>
      </c>
      <c r="Y177" s="11"/>
      <c r="Z177" s="8"/>
      <c r="AA177" s="9"/>
      <c r="AB177" s="10"/>
    </row>
    <row r="178" spans="1:28" x14ac:dyDescent="0.25">
      <c r="A178" s="54">
        <v>80</v>
      </c>
      <c r="B178" s="55">
        <v>1.0732680000000001</v>
      </c>
      <c r="C178" s="55">
        <v>66</v>
      </c>
      <c r="D178" s="55">
        <v>1.038494</v>
      </c>
      <c r="E178" s="56">
        <v>70</v>
      </c>
      <c r="F178" s="57">
        <v>1.049004</v>
      </c>
      <c r="G178" s="54">
        <v>80</v>
      </c>
      <c r="H178" s="55">
        <v>1.082559</v>
      </c>
      <c r="I178" s="55">
        <f t="shared" si="6"/>
        <v>73</v>
      </c>
      <c r="J178" s="55">
        <v>1.068098</v>
      </c>
      <c r="K178" s="55">
        <f t="shared" si="7"/>
        <v>79</v>
      </c>
      <c r="L178" s="57">
        <v>1.0840000000000001</v>
      </c>
      <c r="M178" s="54">
        <v>80</v>
      </c>
      <c r="N178" s="55">
        <v>1.0280039999999999</v>
      </c>
      <c r="O178" s="56">
        <v>80</v>
      </c>
      <c r="P178" s="55">
        <v>1.032027</v>
      </c>
      <c r="Q178" s="55">
        <v>78</v>
      </c>
      <c r="R178" s="57">
        <v>1.0280020000000001</v>
      </c>
      <c r="S178" s="14"/>
      <c r="T178" s="14"/>
      <c r="U178" s="14"/>
      <c r="V178" s="8" cm="1">
        <f t="array" ref="V17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177)+1),6),"")</f>
        <v>0.50645300000000004</v>
      </c>
      <c r="W178" s="9">
        <f t="shared" si="8"/>
        <v>8303.1609175244212</v>
      </c>
      <c r="Y178" s="11"/>
      <c r="Z178" s="8"/>
      <c r="AA178" s="9"/>
      <c r="AB178" s="10"/>
    </row>
    <row r="179" spans="1:28" x14ac:dyDescent="0.25">
      <c r="A179" s="54">
        <v>79</v>
      </c>
      <c r="B179" s="55">
        <v>1.0669729999999999</v>
      </c>
      <c r="C179" s="55">
        <v>65</v>
      </c>
      <c r="D179" s="55">
        <v>1.0369299999999999</v>
      </c>
      <c r="E179" s="56">
        <v>68</v>
      </c>
      <c r="F179" s="57">
        <v>1.0469729999999999</v>
      </c>
      <c r="G179" s="54">
        <v>79</v>
      </c>
      <c r="H179" s="55">
        <v>1.0797399999999999</v>
      </c>
      <c r="I179" s="55">
        <f t="shared" si="6"/>
        <v>72</v>
      </c>
      <c r="J179" s="55">
        <v>1.0660160000000001</v>
      </c>
      <c r="K179" s="55">
        <f t="shared" si="7"/>
        <v>78</v>
      </c>
      <c r="L179" s="57">
        <v>1.081998</v>
      </c>
      <c r="M179" s="54">
        <v>79</v>
      </c>
      <c r="N179" s="55">
        <v>1.0257810000000001</v>
      </c>
      <c r="O179" s="56">
        <v>79</v>
      </c>
      <c r="P179" s="55">
        <v>1.03</v>
      </c>
      <c r="Q179" s="55">
        <v>77</v>
      </c>
      <c r="R179" s="57">
        <v>1.025623</v>
      </c>
      <c r="S179" s="14"/>
      <c r="T179" s="14"/>
      <c r="U179" s="14"/>
      <c r="V179" s="8" cm="1">
        <f t="array" ref="V17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178)+1),6),"")</f>
        <v>0.50883199999999995</v>
      </c>
      <c r="W179" s="9">
        <f t="shared" si="8"/>
        <v>8342.1639835992391</v>
      </c>
      <c r="Y179" s="11"/>
      <c r="Z179" s="8"/>
      <c r="AA179" s="9"/>
      <c r="AB179" s="10"/>
    </row>
    <row r="180" spans="1:28" x14ac:dyDescent="0.25">
      <c r="A180" s="54">
        <v>78</v>
      </c>
      <c r="B180" s="55">
        <v>1.0649839999999999</v>
      </c>
      <c r="C180" s="55">
        <v>64</v>
      </c>
      <c r="D180" s="55">
        <v>1.0331109999999999</v>
      </c>
      <c r="E180" s="56">
        <v>68</v>
      </c>
      <c r="F180" s="57">
        <v>1.041293</v>
      </c>
      <c r="G180" s="54">
        <v>78</v>
      </c>
      <c r="H180" s="55">
        <v>1.077971</v>
      </c>
      <c r="I180" s="55">
        <f t="shared" si="6"/>
        <v>71</v>
      </c>
      <c r="J180" s="55">
        <v>1.0632360000000001</v>
      </c>
      <c r="K180" s="55">
        <f t="shared" si="7"/>
        <v>77</v>
      </c>
      <c r="L180" s="57">
        <v>1.0799650000000001</v>
      </c>
      <c r="M180" s="54">
        <v>78</v>
      </c>
      <c r="N180" s="55">
        <v>1.023436</v>
      </c>
      <c r="O180" s="56">
        <v>78</v>
      </c>
      <c r="P180" s="55">
        <v>1.028</v>
      </c>
      <c r="Q180" s="55">
        <v>76</v>
      </c>
      <c r="R180" s="57">
        <v>1.0227189999999999</v>
      </c>
      <c r="S180" s="14"/>
      <c r="T180" s="14"/>
      <c r="U180" s="14"/>
      <c r="V180" s="8" cm="1">
        <f t="array" ref="V18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179)+1),6),"")</f>
        <v>0.51173599999999997</v>
      </c>
      <c r="W180" s="9">
        <f t="shared" si="8"/>
        <v>8389.7742836754369</v>
      </c>
      <c r="Y180" s="11"/>
      <c r="Z180" s="8"/>
      <c r="AA180" s="9"/>
      <c r="AB180" s="10"/>
    </row>
    <row r="181" spans="1:28" x14ac:dyDescent="0.25">
      <c r="A181" s="54">
        <v>77</v>
      </c>
      <c r="B181" s="55">
        <v>1.0620940000000001</v>
      </c>
      <c r="C181" s="55">
        <v>63</v>
      </c>
      <c r="D181" s="55">
        <v>1.037021</v>
      </c>
      <c r="E181" s="56">
        <v>67</v>
      </c>
      <c r="F181" s="57">
        <v>1.0370159999999999</v>
      </c>
      <c r="G181" s="54">
        <v>77</v>
      </c>
      <c r="H181" s="55">
        <v>1.0725100000000001</v>
      </c>
      <c r="I181" s="55">
        <f t="shared" si="6"/>
        <v>70</v>
      </c>
      <c r="J181" s="55">
        <v>1.0597540000000001</v>
      </c>
      <c r="K181" s="55">
        <f t="shared" si="7"/>
        <v>76</v>
      </c>
      <c r="L181" s="57">
        <v>1.0779609999999999</v>
      </c>
      <c r="M181" s="54">
        <v>77</v>
      </c>
      <c r="N181" s="55">
        <v>1.0215099999999999</v>
      </c>
      <c r="O181" s="56">
        <v>77</v>
      </c>
      <c r="P181" s="55">
        <v>1.024221</v>
      </c>
      <c r="Q181" s="55">
        <v>75</v>
      </c>
      <c r="R181" s="57">
        <v>1.0218179999999999</v>
      </c>
      <c r="S181" s="14"/>
      <c r="T181" s="14"/>
      <c r="U181" s="14"/>
      <c r="V181" s="8" cm="1">
        <f t="array" ref="V18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180)+1),6),"")</f>
        <v>0.51263700000000001</v>
      </c>
      <c r="W181" s="9">
        <f t="shared" si="8"/>
        <v>8404.5459366949472</v>
      </c>
      <c r="Y181" s="11"/>
      <c r="Z181" s="8"/>
      <c r="AA181" s="9"/>
      <c r="AB181" s="10"/>
    </row>
    <row r="182" spans="1:28" x14ac:dyDescent="0.25">
      <c r="A182" s="54">
        <v>76</v>
      </c>
      <c r="B182" s="55">
        <v>1.058346</v>
      </c>
      <c r="C182" s="55">
        <v>62</v>
      </c>
      <c r="D182" s="55">
        <v>1.0349569999999999</v>
      </c>
      <c r="E182" s="56">
        <v>65</v>
      </c>
      <c r="F182" s="57">
        <v>1.0395490000000001</v>
      </c>
      <c r="G182" s="54">
        <v>76</v>
      </c>
      <c r="H182" s="55">
        <v>1.0680270000000001</v>
      </c>
      <c r="I182" s="55">
        <f t="shared" si="6"/>
        <v>69</v>
      </c>
      <c r="J182" s="55">
        <v>1.055998</v>
      </c>
      <c r="K182" s="55">
        <f t="shared" si="7"/>
        <v>75</v>
      </c>
      <c r="L182" s="57">
        <v>1.075332</v>
      </c>
      <c r="M182" s="54">
        <v>76</v>
      </c>
      <c r="N182" s="55">
        <v>1.0191250000000001</v>
      </c>
      <c r="O182" s="56">
        <v>76</v>
      </c>
      <c r="P182" s="55">
        <v>1.022043</v>
      </c>
      <c r="Q182" s="55">
        <v>74</v>
      </c>
      <c r="R182" s="57">
        <v>1.019309</v>
      </c>
      <c r="S182" s="14"/>
      <c r="T182" s="14"/>
      <c r="U182" s="14"/>
      <c r="V182" s="8" cm="1">
        <f t="array" ref="V18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181)+1),6),"")</f>
        <v>0.51514599999999999</v>
      </c>
      <c r="W182" s="9">
        <f t="shared" si="8"/>
        <v>8445.6803178558221</v>
      </c>
      <c r="Y182" s="11"/>
      <c r="Z182" s="8"/>
      <c r="AA182" s="9"/>
      <c r="AB182" s="10"/>
    </row>
    <row r="183" spans="1:28" x14ac:dyDescent="0.25">
      <c r="A183" s="54">
        <v>75</v>
      </c>
      <c r="B183" s="55">
        <v>1.0550079999999999</v>
      </c>
      <c r="C183" s="55">
        <v>61</v>
      </c>
      <c r="D183" s="55">
        <v>1.0329999999999999</v>
      </c>
      <c r="E183" s="56">
        <v>64</v>
      </c>
      <c r="F183" s="57">
        <v>1.0353589999999999</v>
      </c>
      <c r="G183" s="54">
        <v>75</v>
      </c>
      <c r="H183" s="55">
        <v>1.0660099999999999</v>
      </c>
      <c r="I183" s="55">
        <f t="shared" si="6"/>
        <v>68</v>
      </c>
      <c r="J183" s="55">
        <v>1.054</v>
      </c>
      <c r="K183" s="55">
        <f t="shared" si="7"/>
        <v>74</v>
      </c>
      <c r="L183" s="57">
        <v>1.068535</v>
      </c>
      <c r="M183" s="54">
        <v>75</v>
      </c>
      <c r="N183" s="55">
        <v>1.0122660000000001</v>
      </c>
      <c r="O183" s="56">
        <v>75</v>
      </c>
      <c r="P183" s="55">
        <v>1.020268</v>
      </c>
      <c r="Q183" s="55">
        <v>73</v>
      </c>
      <c r="R183" s="57">
        <v>1.013801</v>
      </c>
      <c r="S183" s="14"/>
      <c r="T183" s="14"/>
      <c r="U183" s="14"/>
      <c r="V183" s="8" cm="1">
        <f t="array" ref="V18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182)+1),6),"")</f>
        <v>0.52065399999999995</v>
      </c>
      <c r="W183" s="9">
        <f t="shared" si="8"/>
        <v>8535.9824985788582</v>
      </c>
      <c r="Y183" s="11"/>
      <c r="Z183" s="8"/>
      <c r="AA183" s="9"/>
      <c r="AB183" s="10"/>
    </row>
    <row r="184" spans="1:28" x14ac:dyDescent="0.25">
      <c r="A184" s="54">
        <v>74</v>
      </c>
      <c r="B184" s="55">
        <v>1.0530040000000001</v>
      </c>
      <c r="C184" s="55">
        <v>60</v>
      </c>
      <c r="D184" s="55">
        <v>1.02901</v>
      </c>
      <c r="E184" s="56">
        <v>64</v>
      </c>
      <c r="F184" s="57">
        <v>1.033045</v>
      </c>
      <c r="G184" s="54">
        <v>74</v>
      </c>
      <c r="H184" s="55">
        <v>1.0640590000000001</v>
      </c>
      <c r="I184" s="55">
        <f t="shared" si="6"/>
        <v>67</v>
      </c>
      <c r="J184" s="55">
        <v>1.0514060000000001</v>
      </c>
      <c r="K184" s="55">
        <f t="shared" si="7"/>
        <v>73</v>
      </c>
      <c r="L184" s="57">
        <v>1.066004</v>
      </c>
      <c r="M184" s="54">
        <v>74</v>
      </c>
      <c r="N184" s="55">
        <v>1.0096309999999999</v>
      </c>
      <c r="O184" s="56">
        <v>74</v>
      </c>
      <c r="P184" s="55">
        <v>1.0183009999999999</v>
      </c>
      <c r="Q184" s="55">
        <v>72</v>
      </c>
      <c r="R184" s="57">
        <v>1.009965</v>
      </c>
      <c r="S184" s="14"/>
      <c r="T184" s="14"/>
      <c r="U184" s="14"/>
      <c r="V184" s="8" cm="1">
        <f t="array" ref="V18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183)+1),6),"")</f>
        <v>0.52449000000000001</v>
      </c>
      <c r="W184" s="9">
        <f t="shared" si="8"/>
        <v>8598.8726883489344</v>
      </c>
      <c r="Y184" s="11"/>
      <c r="Z184" s="8"/>
      <c r="AA184" s="9"/>
      <c r="AB184" s="10"/>
    </row>
    <row r="185" spans="1:28" x14ac:dyDescent="0.25">
      <c r="A185" s="54">
        <v>73</v>
      </c>
      <c r="B185" s="55">
        <v>1.050945</v>
      </c>
      <c r="C185" s="55">
        <v>59</v>
      </c>
      <c r="D185" s="55">
        <v>1.0270779999999999</v>
      </c>
      <c r="E185" s="56">
        <v>60</v>
      </c>
      <c r="F185" s="57">
        <v>1.030764</v>
      </c>
      <c r="G185" s="54">
        <v>73</v>
      </c>
      <c r="H185" s="55">
        <v>1.060541</v>
      </c>
      <c r="I185" s="55">
        <f t="shared" si="6"/>
        <v>66</v>
      </c>
      <c r="J185" s="55">
        <v>1.0495939999999999</v>
      </c>
      <c r="K185" s="55">
        <f t="shared" si="7"/>
        <v>72</v>
      </c>
      <c r="L185" s="57">
        <v>1.0640000000000001</v>
      </c>
      <c r="M185" s="54">
        <v>73</v>
      </c>
      <c r="N185" s="55">
        <v>1.0076499999999999</v>
      </c>
      <c r="O185" s="56">
        <v>73</v>
      </c>
      <c r="P185" s="55">
        <v>1.0125820000000001</v>
      </c>
      <c r="Q185" s="55">
        <v>71</v>
      </c>
      <c r="R185" s="57">
        <v>1.007271</v>
      </c>
      <c r="S185" s="14"/>
      <c r="T185" s="14"/>
      <c r="U185" s="14"/>
      <c r="V185" s="8" cm="1">
        <f t="array" ref="V18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184)+1),6),"")</f>
        <v>0.52718399999999999</v>
      </c>
      <c r="W185" s="9">
        <f t="shared" si="8"/>
        <v>8643.0400948245806</v>
      </c>
      <c r="Y185" s="11"/>
      <c r="Z185" s="8"/>
      <c r="AA185" s="9"/>
      <c r="AB185" s="10"/>
    </row>
    <row r="186" spans="1:28" x14ac:dyDescent="0.25">
      <c r="A186" s="54">
        <v>72</v>
      </c>
      <c r="B186" s="55">
        <v>1.0489649999999999</v>
      </c>
      <c r="C186" s="55">
        <v>58</v>
      </c>
      <c r="D186" s="55">
        <v>1.0249900000000001</v>
      </c>
      <c r="E186" s="56">
        <v>60</v>
      </c>
      <c r="F186" s="57">
        <v>1.0270570000000001</v>
      </c>
      <c r="G186" s="54">
        <v>72</v>
      </c>
      <c r="H186" s="55">
        <v>1.056789</v>
      </c>
      <c r="I186" s="55">
        <f t="shared" si="6"/>
        <v>65</v>
      </c>
      <c r="J186" s="55">
        <v>1.0452619999999999</v>
      </c>
      <c r="K186" s="55">
        <f t="shared" si="7"/>
        <v>71</v>
      </c>
      <c r="L186" s="57">
        <v>1.0582339999999999</v>
      </c>
      <c r="M186" s="54">
        <v>72</v>
      </c>
      <c r="N186" s="55">
        <v>1.004256</v>
      </c>
      <c r="O186" s="56">
        <v>72</v>
      </c>
      <c r="P186" s="55">
        <v>1.009652</v>
      </c>
      <c r="Q186" s="55">
        <v>70</v>
      </c>
      <c r="R186" s="57">
        <v>1.0040210000000001</v>
      </c>
      <c r="S186" s="14"/>
      <c r="T186" s="14"/>
      <c r="U186" s="14"/>
      <c r="V186" s="8" cm="1">
        <f t="array" ref="V18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185)+1),6),"")</f>
        <v>0.53043399999999996</v>
      </c>
      <c r="W186" s="9">
        <f t="shared" si="8"/>
        <v>8696.3229719759729</v>
      </c>
      <c r="Y186" s="11"/>
      <c r="Z186" s="8"/>
      <c r="AA186" s="9"/>
      <c r="AB186" s="10"/>
    </row>
    <row r="187" spans="1:28" x14ac:dyDescent="0.25">
      <c r="A187" s="54">
        <v>71</v>
      </c>
      <c r="B187" s="55">
        <v>1.046994</v>
      </c>
      <c r="C187" s="55">
        <v>57</v>
      </c>
      <c r="D187" s="55">
        <v>1.0217149999999999</v>
      </c>
      <c r="E187" s="56">
        <v>59</v>
      </c>
      <c r="F187" s="57">
        <v>1.024996</v>
      </c>
      <c r="G187" s="54">
        <v>71</v>
      </c>
      <c r="H187" s="55">
        <v>1.0539609999999999</v>
      </c>
      <c r="I187" s="55">
        <f t="shared" si="6"/>
        <v>64</v>
      </c>
      <c r="J187" s="55">
        <v>1.040602</v>
      </c>
      <c r="K187" s="55">
        <f t="shared" si="7"/>
        <v>70</v>
      </c>
      <c r="L187" s="57">
        <v>1.0559959999999999</v>
      </c>
      <c r="M187" s="54">
        <v>71</v>
      </c>
      <c r="N187" s="55">
        <v>1.002033</v>
      </c>
      <c r="O187" s="56">
        <v>71</v>
      </c>
      <c r="P187" s="55">
        <v>1.006014</v>
      </c>
      <c r="Q187" s="55">
        <v>69</v>
      </c>
      <c r="R187" s="57">
        <v>1.0020720000000001</v>
      </c>
      <c r="S187" s="14"/>
      <c r="T187" s="14"/>
      <c r="U187" s="14"/>
      <c r="V187" s="8" cm="1">
        <f t="array" ref="V18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186)+1),6),"")</f>
        <v>0.53238300000000005</v>
      </c>
      <c r="W187" s="9">
        <f t="shared" si="8"/>
        <v>8728.2763035353801</v>
      </c>
      <c r="Y187" s="11"/>
      <c r="Z187" s="8"/>
      <c r="AA187" s="9"/>
      <c r="AB187" s="10"/>
    </row>
    <row r="188" spans="1:28" x14ac:dyDescent="0.25">
      <c r="A188" s="54">
        <v>70</v>
      </c>
      <c r="B188" s="55">
        <v>1.0422229999999999</v>
      </c>
      <c r="C188" s="55">
        <v>56</v>
      </c>
      <c r="D188" s="55">
        <v>1.015568</v>
      </c>
      <c r="E188" s="56">
        <v>58</v>
      </c>
      <c r="F188" s="57">
        <v>1.019477</v>
      </c>
      <c r="G188" s="54">
        <v>70</v>
      </c>
      <c r="H188" s="55">
        <v>1.051971</v>
      </c>
      <c r="I188" s="55">
        <f t="shared" si="6"/>
        <v>63</v>
      </c>
      <c r="J188" s="55">
        <v>1.036</v>
      </c>
      <c r="K188" s="55">
        <f t="shared" si="7"/>
        <v>69</v>
      </c>
      <c r="L188" s="57">
        <v>1.053941</v>
      </c>
      <c r="M188" s="54">
        <v>70</v>
      </c>
      <c r="N188" s="55">
        <v>0.99990800000000002</v>
      </c>
      <c r="O188" s="56">
        <v>70</v>
      </c>
      <c r="P188" s="55">
        <v>1.004</v>
      </c>
      <c r="Q188" s="55">
        <v>68</v>
      </c>
      <c r="R188" s="57">
        <v>0.99955300000000002</v>
      </c>
      <c r="S188" s="14"/>
      <c r="T188" s="14"/>
      <c r="U188" s="14"/>
      <c r="V188" s="8" cm="1">
        <f t="array" ref="V18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187)+1),6),"")</f>
        <v>0.53490199999999999</v>
      </c>
      <c r="W188" s="9">
        <f t="shared" si="8"/>
        <v>8769.5746320105663</v>
      </c>
      <c r="Y188" s="11"/>
      <c r="Z188" s="8"/>
      <c r="AA188" s="9"/>
      <c r="AB188" s="10"/>
    </row>
    <row r="189" spans="1:28" x14ac:dyDescent="0.25">
      <c r="A189" s="54">
        <v>69</v>
      </c>
      <c r="B189" s="55">
        <v>1.0370200000000001</v>
      </c>
      <c r="C189" s="55">
        <v>55</v>
      </c>
      <c r="D189" s="55">
        <v>1.0131699999999999</v>
      </c>
      <c r="E189" s="56">
        <v>57</v>
      </c>
      <c r="F189" s="57">
        <v>1.015285</v>
      </c>
      <c r="G189" s="54">
        <v>69</v>
      </c>
      <c r="H189" s="55">
        <v>1.0489820000000001</v>
      </c>
      <c r="I189" s="55">
        <f t="shared" si="6"/>
        <v>62</v>
      </c>
      <c r="J189" s="55">
        <v>1.034</v>
      </c>
      <c r="K189" s="55">
        <f t="shared" si="7"/>
        <v>68</v>
      </c>
      <c r="L189" s="57">
        <v>1.0516859999999999</v>
      </c>
      <c r="M189" s="54">
        <v>69</v>
      </c>
      <c r="N189" s="55">
        <v>0.99571699999999996</v>
      </c>
      <c r="O189" s="56">
        <v>69</v>
      </c>
      <c r="P189" s="55">
        <v>1.0019709999999999</v>
      </c>
      <c r="Q189" s="55">
        <v>67</v>
      </c>
      <c r="R189" s="57">
        <v>0.99601399999999995</v>
      </c>
      <c r="S189" s="14"/>
      <c r="T189" s="14"/>
      <c r="U189" s="14"/>
      <c r="V189" s="8" cm="1">
        <f t="array" ref="V18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188)+1),6),"")</f>
        <v>0.53844099999999995</v>
      </c>
      <c r="W189" s="9">
        <f t="shared" si="8"/>
        <v>8827.5955865455744</v>
      </c>
      <c r="Y189" s="11"/>
      <c r="Z189" s="8"/>
      <c r="AA189" s="9"/>
      <c r="AB189" s="10"/>
    </row>
    <row r="190" spans="1:28" x14ac:dyDescent="0.25">
      <c r="A190" s="54">
        <v>68</v>
      </c>
      <c r="B190" s="55">
        <v>1.035002</v>
      </c>
      <c r="C190" s="55">
        <v>54</v>
      </c>
      <c r="D190" s="55">
        <v>1.0109999999999999</v>
      </c>
      <c r="E190" s="56">
        <v>56</v>
      </c>
      <c r="F190" s="57">
        <v>1.0129999999999999</v>
      </c>
      <c r="G190" s="54">
        <v>68</v>
      </c>
      <c r="H190" s="55">
        <v>1.0461020000000001</v>
      </c>
      <c r="I190" s="55">
        <f t="shared" si="6"/>
        <v>61</v>
      </c>
      <c r="J190" s="55">
        <v>1.030211</v>
      </c>
      <c r="K190" s="55">
        <f t="shared" si="7"/>
        <v>67</v>
      </c>
      <c r="L190" s="57">
        <v>1.049588</v>
      </c>
      <c r="M190" s="54">
        <v>68</v>
      </c>
      <c r="N190" s="55">
        <v>0.992645</v>
      </c>
      <c r="O190" s="56">
        <v>68</v>
      </c>
      <c r="P190" s="55">
        <v>0.99838899999999997</v>
      </c>
      <c r="Q190" s="55">
        <v>66</v>
      </c>
      <c r="R190" s="57">
        <v>0.99302699999999999</v>
      </c>
      <c r="S190" s="14"/>
      <c r="T190" s="14"/>
      <c r="U190" s="14"/>
      <c r="V190" s="8" cm="1">
        <f t="array" ref="V19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189)+1),6),"")</f>
        <v>0.54142800000000002</v>
      </c>
      <c r="W190" s="9">
        <f t="shared" si="8"/>
        <v>8876.5666493305635</v>
      </c>
      <c r="Y190" s="11"/>
      <c r="Z190" s="8"/>
      <c r="AA190" s="9"/>
      <c r="AB190" s="10"/>
    </row>
    <row r="191" spans="1:28" x14ac:dyDescent="0.25">
      <c r="A191" s="54">
        <v>67</v>
      </c>
      <c r="B191" s="55">
        <v>1.0329999999999999</v>
      </c>
      <c r="C191" s="55">
        <v>53</v>
      </c>
      <c r="D191" s="55">
        <v>1.009004</v>
      </c>
      <c r="E191" s="56">
        <v>55</v>
      </c>
      <c r="F191" s="57">
        <v>1.0108710000000001</v>
      </c>
      <c r="G191" s="54">
        <v>67</v>
      </c>
      <c r="H191" s="55">
        <v>1.0410740000000001</v>
      </c>
      <c r="I191" s="55">
        <f t="shared" si="6"/>
        <v>60</v>
      </c>
      <c r="J191" s="55">
        <v>1.0281880000000001</v>
      </c>
      <c r="K191" s="55">
        <f t="shared" si="7"/>
        <v>66</v>
      </c>
      <c r="L191" s="57">
        <v>1.0467420000000001</v>
      </c>
      <c r="M191" s="54">
        <v>67</v>
      </c>
      <c r="N191" s="55">
        <v>0.98801399999999995</v>
      </c>
      <c r="O191" s="56">
        <v>67</v>
      </c>
      <c r="P191" s="55">
        <v>0.99473800000000001</v>
      </c>
      <c r="Q191" s="55">
        <v>65</v>
      </c>
      <c r="R191" s="57">
        <v>0.98927299999999996</v>
      </c>
      <c r="S191" s="14"/>
      <c r="T191" s="14"/>
      <c r="U191" s="14"/>
      <c r="V191" s="8" cm="1">
        <f t="array" ref="V19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190)+1),6),"")</f>
        <v>0.54518200000000006</v>
      </c>
      <c r="W191" s="9">
        <f t="shared" si="8"/>
        <v>8938.1124711232806</v>
      </c>
      <c r="Y191" s="11"/>
      <c r="Z191" s="8"/>
      <c r="AA191" s="9"/>
      <c r="AB191" s="10"/>
    </row>
    <row r="192" spans="1:28" x14ac:dyDescent="0.25">
      <c r="A192" s="54">
        <v>66</v>
      </c>
      <c r="B192" s="55">
        <v>1.0308980000000001</v>
      </c>
      <c r="C192" s="55">
        <v>52</v>
      </c>
      <c r="D192" s="55">
        <v>1.0068140000000001</v>
      </c>
      <c r="E192" s="56">
        <v>54</v>
      </c>
      <c r="F192" s="57">
        <v>1.0088870000000001</v>
      </c>
      <c r="G192" s="54">
        <v>66</v>
      </c>
      <c r="H192" s="55">
        <v>1.038</v>
      </c>
      <c r="I192" s="55">
        <f t="shared" si="6"/>
        <v>59</v>
      </c>
      <c r="J192" s="55">
        <v>1.0259879999999999</v>
      </c>
      <c r="K192" s="55">
        <f t="shared" si="7"/>
        <v>65</v>
      </c>
      <c r="L192" s="57">
        <v>1.0409630000000001</v>
      </c>
      <c r="M192" s="54">
        <v>66</v>
      </c>
      <c r="N192" s="55">
        <v>0.98480900000000005</v>
      </c>
      <c r="O192" s="56">
        <v>66</v>
      </c>
      <c r="P192" s="55">
        <v>0.99053100000000005</v>
      </c>
      <c r="Q192" s="55">
        <v>64</v>
      </c>
      <c r="R192" s="57">
        <v>0.98583600000000005</v>
      </c>
      <c r="S192" s="14"/>
      <c r="T192" s="14"/>
      <c r="U192" s="14"/>
      <c r="V192" s="8" cm="1">
        <f t="array" ref="V19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191)+1),6),"")</f>
        <v>0.54861899999999997</v>
      </c>
      <c r="W192" s="9">
        <f t="shared" si="8"/>
        <v>8994.461163052305</v>
      </c>
      <c r="Y192" s="11"/>
      <c r="Z192" s="8"/>
      <c r="AA192" s="9"/>
      <c r="AB192" s="10"/>
    </row>
    <row r="193" spans="1:28" x14ac:dyDescent="0.25">
      <c r="A193" s="54">
        <v>65</v>
      </c>
      <c r="B193" s="55">
        <v>1.0273110000000001</v>
      </c>
      <c r="C193" s="55">
        <v>51</v>
      </c>
      <c r="D193" s="55">
        <v>1.003652</v>
      </c>
      <c r="E193" s="56">
        <v>53</v>
      </c>
      <c r="F193" s="57">
        <v>1.00508</v>
      </c>
      <c r="G193" s="54">
        <v>65</v>
      </c>
      <c r="H193" s="55">
        <v>1.034473</v>
      </c>
      <c r="I193" s="55">
        <f t="shared" si="6"/>
        <v>58</v>
      </c>
      <c r="J193" s="55">
        <v>1.020615</v>
      </c>
      <c r="K193" s="55">
        <f t="shared" si="7"/>
        <v>64</v>
      </c>
      <c r="L193" s="57">
        <v>1.037971</v>
      </c>
      <c r="M193" s="54">
        <v>65</v>
      </c>
      <c r="N193" s="55">
        <v>0.98221899999999995</v>
      </c>
      <c r="O193" s="56">
        <v>65</v>
      </c>
      <c r="P193" s="55">
        <v>0.98802299999999998</v>
      </c>
      <c r="Q193" s="55">
        <v>63</v>
      </c>
      <c r="R193" s="57">
        <v>0.98699800000000004</v>
      </c>
      <c r="S193" s="14"/>
      <c r="T193" s="14"/>
      <c r="U193" s="14"/>
      <c r="V193" s="8" cm="1">
        <f t="array" ref="V19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192)+1),6),"")</f>
        <v>0.54745699999999997</v>
      </c>
      <c r="W193" s="9">
        <f t="shared" si="8"/>
        <v>8975.4104851292541</v>
      </c>
      <c r="Y193" s="11"/>
      <c r="Z193" s="8"/>
      <c r="AA193" s="9"/>
      <c r="AB193" s="10"/>
    </row>
    <row r="194" spans="1:28" x14ac:dyDescent="0.25">
      <c r="A194" s="54">
        <v>64</v>
      </c>
      <c r="B194" s="55">
        <v>1.025555</v>
      </c>
      <c r="C194" s="55">
        <v>50</v>
      </c>
      <c r="D194" s="55">
        <v>0.999</v>
      </c>
      <c r="E194" s="56">
        <v>52</v>
      </c>
      <c r="F194" s="57">
        <v>1.000613</v>
      </c>
      <c r="G194" s="54">
        <v>64</v>
      </c>
      <c r="H194" s="55">
        <v>1.0325040000000001</v>
      </c>
      <c r="I194" s="55">
        <f t="shared" si="6"/>
        <v>57</v>
      </c>
      <c r="J194" s="55">
        <v>1.0168010000000001</v>
      </c>
      <c r="K194" s="55">
        <f t="shared" si="7"/>
        <v>63</v>
      </c>
      <c r="L194" s="57">
        <v>1.038</v>
      </c>
      <c r="M194" s="54">
        <v>64</v>
      </c>
      <c r="N194" s="55">
        <v>0.98018000000000005</v>
      </c>
      <c r="O194" s="56">
        <v>64</v>
      </c>
      <c r="P194" s="55">
        <v>0.98467400000000005</v>
      </c>
      <c r="Q194" s="55">
        <v>62</v>
      </c>
      <c r="R194" s="57">
        <v>0.98380900000000004</v>
      </c>
      <c r="S194" s="14"/>
      <c r="T194" s="14"/>
      <c r="U194" s="14"/>
      <c r="V194" s="8" cm="1">
        <f t="array" ref="V19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193)+1),6),"")</f>
        <v>0.55064599999999997</v>
      </c>
      <c r="W194" s="9">
        <f t="shared" si="8"/>
        <v>9027.6932836633441</v>
      </c>
      <c r="Y194" s="11"/>
      <c r="Z194" s="8"/>
      <c r="AA194" s="9"/>
      <c r="AB194" s="10"/>
    </row>
    <row r="195" spans="1:28" x14ac:dyDescent="0.25">
      <c r="A195" s="54">
        <v>63</v>
      </c>
      <c r="B195" s="55">
        <v>1.0269919999999999</v>
      </c>
      <c r="C195" s="55">
        <v>49</v>
      </c>
      <c r="D195" s="55">
        <v>0.99513300000000005</v>
      </c>
      <c r="E195" s="56">
        <v>55</v>
      </c>
      <c r="F195" s="57">
        <v>0.99551999999999996</v>
      </c>
      <c r="G195" s="54">
        <v>63</v>
      </c>
      <c r="H195" s="55">
        <v>1.0340039999999999</v>
      </c>
      <c r="I195" s="55">
        <f t="shared" si="6"/>
        <v>56</v>
      </c>
      <c r="J195" s="55">
        <v>1.014213</v>
      </c>
      <c r="K195" s="55">
        <f t="shared" si="7"/>
        <v>62</v>
      </c>
      <c r="L195" s="57">
        <v>1.036</v>
      </c>
      <c r="M195" s="54">
        <v>63</v>
      </c>
      <c r="N195" s="55">
        <v>0.98395699999999997</v>
      </c>
      <c r="O195" s="56">
        <v>63</v>
      </c>
      <c r="P195" s="55">
        <v>0.98399800000000004</v>
      </c>
      <c r="Q195" s="55">
        <v>61</v>
      </c>
      <c r="R195" s="57">
        <v>0.98164099999999999</v>
      </c>
      <c r="S195" s="14"/>
      <c r="T195" s="14"/>
      <c r="U195" s="14"/>
      <c r="V195" s="8" cm="1">
        <f t="array" ref="V19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194)+1),6),"")</f>
        <v>0.55281400000000003</v>
      </c>
      <c r="W195" s="9">
        <f t="shared" si="8"/>
        <v>9063.237061406182</v>
      </c>
      <c r="Y195" s="11"/>
      <c r="Z195" s="8"/>
      <c r="AA195" s="9"/>
      <c r="AB195" s="10"/>
    </row>
    <row r="196" spans="1:28" x14ac:dyDescent="0.25">
      <c r="A196" s="54">
        <v>62</v>
      </c>
      <c r="B196" s="55">
        <v>1.024996</v>
      </c>
      <c r="C196" s="55">
        <v>48</v>
      </c>
      <c r="D196" s="55">
        <v>0.99294700000000002</v>
      </c>
      <c r="E196" s="56">
        <v>54</v>
      </c>
      <c r="F196" s="57">
        <v>0.99322500000000002</v>
      </c>
      <c r="G196" s="54">
        <v>62</v>
      </c>
      <c r="H196" s="55">
        <v>1.032006</v>
      </c>
      <c r="I196" s="55">
        <f t="shared" ref="I196:I258" si="9">I195-1</f>
        <v>55</v>
      </c>
      <c r="J196" s="55">
        <v>1.0118929999999999</v>
      </c>
      <c r="K196" s="55">
        <f t="shared" ref="K196:K251" si="10">K195-1</f>
        <v>61</v>
      </c>
      <c r="L196" s="57">
        <v>1.033736</v>
      </c>
      <c r="M196" s="54">
        <v>62</v>
      </c>
      <c r="N196" s="55">
        <v>0.98192800000000002</v>
      </c>
      <c r="O196" s="56">
        <v>62</v>
      </c>
      <c r="P196" s="55">
        <v>0.98190999999999995</v>
      </c>
      <c r="Q196" s="55">
        <v>60</v>
      </c>
      <c r="R196" s="57">
        <v>0.97780100000000003</v>
      </c>
      <c r="S196" s="14"/>
      <c r="T196" s="14"/>
      <c r="U196" s="14"/>
      <c r="V196" s="8" cm="1">
        <f t="array" ref="V19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195)+1),6),"")</f>
        <v>0.55665399999999998</v>
      </c>
      <c r="W196" s="9">
        <f t="shared" si="8"/>
        <v>9126.1928301019798</v>
      </c>
      <c r="Y196" s="11"/>
      <c r="Z196" s="8"/>
      <c r="AA196" s="9"/>
      <c r="AB196" s="10"/>
    </row>
    <row r="197" spans="1:28" x14ac:dyDescent="0.25">
      <c r="A197" s="54">
        <v>61</v>
      </c>
      <c r="B197" s="55">
        <v>1.0189820000000001</v>
      </c>
      <c r="C197" s="55">
        <v>47</v>
      </c>
      <c r="D197" s="55">
        <v>0.9869</v>
      </c>
      <c r="E197" s="56">
        <v>53</v>
      </c>
      <c r="F197" s="57">
        <v>0.98946699999999999</v>
      </c>
      <c r="G197" s="54">
        <v>61</v>
      </c>
      <c r="H197" s="55">
        <v>1.028848</v>
      </c>
      <c r="I197" s="55">
        <f t="shared" si="9"/>
        <v>54</v>
      </c>
      <c r="J197" s="55">
        <v>1.0099819999999999</v>
      </c>
      <c r="K197" s="55">
        <f t="shared" si="10"/>
        <v>60</v>
      </c>
      <c r="L197" s="57">
        <v>1.0300180000000001</v>
      </c>
      <c r="M197" s="54">
        <v>61</v>
      </c>
      <c r="N197" s="55">
        <v>0.97942799999999997</v>
      </c>
      <c r="O197" s="56">
        <v>61</v>
      </c>
      <c r="P197" s="55">
        <v>0.97889499999999996</v>
      </c>
      <c r="Q197" s="55">
        <v>59</v>
      </c>
      <c r="R197" s="57">
        <v>0.97599999999999998</v>
      </c>
      <c r="S197" s="14"/>
      <c r="T197" s="14"/>
      <c r="U197" s="14"/>
      <c r="V197" s="8" cm="1">
        <f t="array" ref="V19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196)+1),6),"")</f>
        <v>0.55845500000000003</v>
      </c>
      <c r="W197" s="9">
        <f t="shared" ref="W197:W258" si="11">V197*16394.7314311978</f>
        <v>9155.7197414095681</v>
      </c>
      <c r="Y197" s="11"/>
      <c r="Z197" s="8"/>
      <c r="AA197" s="9"/>
      <c r="AB197" s="10"/>
    </row>
    <row r="198" spans="1:28" x14ac:dyDescent="0.25">
      <c r="A198" s="54">
        <v>60</v>
      </c>
      <c r="B198" s="55">
        <v>1.015881</v>
      </c>
      <c r="C198" s="55">
        <v>46</v>
      </c>
      <c r="D198" s="55">
        <v>0.98271900000000001</v>
      </c>
      <c r="E198" s="56">
        <v>52</v>
      </c>
      <c r="F198" s="57">
        <v>0.99114800000000003</v>
      </c>
      <c r="G198" s="54">
        <v>60</v>
      </c>
      <c r="H198" s="55">
        <v>1.02749</v>
      </c>
      <c r="I198" s="55">
        <f t="shared" si="9"/>
        <v>53</v>
      </c>
      <c r="J198" s="55">
        <v>1.006559</v>
      </c>
      <c r="K198" s="55">
        <f t="shared" si="10"/>
        <v>59</v>
      </c>
      <c r="L198" s="57">
        <v>1.027998</v>
      </c>
      <c r="M198" s="54">
        <v>60</v>
      </c>
      <c r="N198" s="55">
        <v>0.97599800000000003</v>
      </c>
      <c r="O198" s="56">
        <v>60</v>
      </c>
      <c r="P198" s="55">
        <v>0.97587500000000005</v>
      </c>
      <c r="Q198" s="55">
        <v>58</v>
      </c>
      <c r="R198" s="57">
        <v>0.97352499999999997</v>
      </c>
      <c r="S198" s="14"/>
      <c r="T198" s="14"/>
      <c r="U198" s="14"/>
      <c r="V198" s="8" cm="1">
        <f t="array" ref="V19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197)+1),6),"")</f>
        <v>0.56093000000000004</v>
      </c>
      <c r="W198" s="9">
        <f t="shared" si="11"/>
        <v>9196.2967017017836</v>
      </c>
      <c r="Y198" s="11"/>
      <c r="Z198" s="8"/>
      <c r="AA198" s="9"/>
      <c r="AB198" s="10"/>
    </row>
    <row r="199" spans="1:28" x14ac:dyDescent="0.25">
      <c r="A199" s="54">
        <v>59</v>
      </c>
      <c r="B199" s="55">
        <v>1.013018</v>
      </c>
      <c r="C199" s="55">
        <v>45</v>
      </c>
      <c r="D199" s="55">
        <v>0.98099199999999998</v>
      </c>
      <c r="E199" s="56">
        <v>51</v>
      </c>
      <c r="F199" s="57">
        <v>0.98746100000000003</v>
      </c>
      <c r="G199" s="54">
        <v>59</v>
      </c>
      <c r="H199" s="55">
        <v>1.0255510000000001</v>
      </c>
      <c r="I199" s="55">
        <f t="shared" si="9"/>
        <v>52</v>
      </c>
      <c r="J199" s="55">
        <v>1.0024139999999999</v>
      </c>
      <c r="K199" s="55">
        <f t="shared" si="10"/>
        <v>58</v>
      </c>
      <c r="L199" s="57">
        <v>1.026</v>
      </c>
      <c r="M199" s="54">
        <v>59</v>
      </c>
      <c r="N199" s="55">
        <v>0.97200200000000003</v>
      </c>
      <c r="O199" s="56">
        <v>59</v>
      </c>
      <c r="P199" s="55">
        <v>0.97333000000000003</v>
      </c>
      <c r="Q199" s="55">
        <v>57</v>
      </c>
      <c r="R199" s="57">
        <v>0.97015399999999996</v>
      </c>
      <c r="S199" s="14"/>
      <c r="T199" s="14"/>
      <c r="U199" s="14"/>
      <c r="V199" s="8" cm="1">
        <f t="array" ref="V19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198)+1),6),"")</f>
        <v>0.56430100000000005</v>
      </c>
      <c r="W199" s="9">
        <f t="shared" si="11"/>
        <v>9251.5633413563519</v>
      </c>
      <c r="Y199" s="11"/>
      <c r="Z199" s="8"/>
      <c r="AA199" s="9"/>
      <c r="AB199" s="10"/>
    </row>
    <row r="200" spans="1:28" x14ac:dyDescent="0.25">
      <c r="A200" s="54">
        <v>58</v>
      </c>
      <c r="B200" s="55">
        <v>1.0113129999999999</v>
      </c>
      <c r="C200" s="55">
        <v>44</v>
      </c>
      <c r="D200" s="55">
        <v>0.97708600000000001</v>
      </c>
      <c r="E200" s="56">
        <v>50</v>
      </c>
      <c r="F200" s="57">
        <v>0.98517600000000005</v>
      </c>
      <c r="G200" s="54">
        <v>58</v>
      </c>
      <c r="H200" s="55">
        <v>1.0199389999999999</v>
      </c>
      <c r="I200" s="55">
        <f t="shared" si="9"/>
        <v>51</v>
      </c>
      <c r="J200" s="55">
        <v>0.99891799999999997</v>
      </c>
      <c r="K200" s="55">
        <f t="shared" si="10"/>
        <v>57</v>
      </c>
      <c r="L200" s="57">
        <v>1.02057</v>
      </c>
      <c r="M200" s="54">
        <v>58</v>
      </c>
      <c r="N200" s="55">
        <v>0.96996099999999996</v>
      </c>
      <c r="O200" s="56">
        <v>58</v>
      </c>
      <c r="P200" s="55">
        <v>0.970082</v>
      </c>
      <c r="Q200" s="55">
        <v>56</v>
      </c>
      <c r="R200" s="57">
        <v>0.96598600000000001</v>
      </c>
      <c r="S200" s="14"/>
      <c r="T200" s="14"/>
      <c r="U200" s="14"/>
      <c r="V200" s="8" cm="1">
        <f t="array" ref="V20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199)+1),6),"")</f>
        <v>0.568469</v>
      </c>
      <c r="W200" s="9">
        <f t="shared" si="11"/>
        <v>9319.8965819615823</v>
      </c>
      <c r="Y200" s="11"/>
      <c r="Z200" s="8"/>
      <c r="AA200" s="9"/>
      <c r="AB200" s="10"/>
    </row>
    <row r="201" spans="1:28" x14ac:dyDescent="0.25">
      <c r="A201" s="54">
        <v>57</v>
      </c>
      <c r="B201" s="55">
        <v>1.0089999999999999</v>
      </c>
      <c r="C201" s="55">
        <v>43</v>
      </c>
      <c r="D201" s="55">
        <v>0.975051</v>
      </c>
      <c r="E201" s="56">
        <v>49</v>
      </c>
      <c r="F201" s="57">
        <v>0.98131999999999997</v>
      </c>
      <c r="G201" s="54">
        <v>57</v>
      </c>
      <c r="H201" s="55">
        <v>1.015998</v>
      </c>
      <c r="I201" s="55">
        <f t="shared" si="9"/>
        <v>50</v>
      </c>
      <c r="J201" s="55">
        <v>0.99557200000000001</v>
      </c>
      <c r="K201" s="55">
        <f t="shared" si="10"/>
        <v>56</v>
      </c>
      <c r="L201" s="57">
        <v>1.017582</v>
      </c>
      <c r="M201" s="54">
        <v>57</v>
      </c>
      <c r="N201" s="55">
        <v>0.96593600000000002</v>
      </c>
      <c r="O201" s="56">
        <v>57</v>
      </c>
      <c r="P201" s="55">
        <v>0.96599599999999997</v>
      </c>
      <c r="Q201" s="55">
        <v>55</v>
      </c>
      <c r="R201" s="57">
        <v>0.96372899999999995</v>
      </c>
      <c r="S201" s="14"/>
      <c r="T201" s="14"/>
      <c r="U201" s="14"/>
      <c r="V201" s="8" cm="1">
        <f t="array" ref="V20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200)+1),6),"")</f>
        <v>0.57072599999999996</v>
      </c>
      <c r="W201" s="9">
        <f t="shared" si="11"/>
        <v>9356.8994908017958</v>
      </c>
      <c r="Y201" s="11"/>
      <c r="Z201" s="8"/>
      <c r="AA201" s="9"/>
      <c r="AB201" s="10"/>
    </row>
    <row r="202" spans="1:28" x14ac:dyDescent="0.25">
      <c r="A202" s="54">
        <v>56</v>
      </c>
      <c r="B202" s="55">
        <v>1.006996</v>
      </c>
      <c r="C202" s="55">
        <v>42</v>
      </c>
      <c r="D202" s="55">
        <v>0.970912</v>
      </c>
      <c r="E202" s="56">
        <v>48</v>
      </c>
      <c r="F202" s="57">
        <v>0.97889499999999996</v>
      </c>
      <c r="G202" s="54">
        <v>56</v>
      </c>
      <c r="H202" s="55">
        <v>1.014</v>
      </c>
      <c r="I202" s="55">
        <f t="shared" si="9"/>
        <v>49</v>
      </c>
      <c r="J202" s="55">
        <v>0.99240600000000001</v>
      </c>
      <c r="K202" s="55">
        <f t="shared" si="10"/>
        <v>55</v>
      </c>
      <c r="L202" s="57">
        <v>1.013998</v>
      </c>
      <c r="M202" s="54">
        <v>56</v>
      </c>
      <c r="N202" s="55">
        <v>0.96387900000000004</v>
      </c>
      <c r="O202" s="56">
        <v>56</v>
      </c>
      <c r="P202" s="55">
        <v>0.96397299999999997</v>
      </c>
      <c r="Q202" s="55">
        <v>54</v>
      </c>
      <c r="R202" s="57">
        <v>0.96002299999999996</v>
      </c>
      <c r="S202" s="14"/>
      <c r="T202" s="14"/>
      <c r="U202" s="14"/>
      <c r="V202" s="8" cm="1">
        <f t="array" ref="V20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201)+1),6),"")</f>
        <v>0.57443200000000005</v>
      </c>
      <c r="W202" s="9">
        <f t="shared" si="11"/>
        <v>9417.6583654858168</v>
      </c>
      <c r="Y202" s="11"/>
      <c r="Z202" s="8"/>
      <c r="AA202" s="9"/>
      <c r="AB202" s="10"/>
    </row>
    <row r="203" spans="1:28" x14ac:dyDescent="0.25">
      <c r="A203" s="54">
        <v>55</v>
      </c>
      <c r="B203" s="55">
        <v>1.0048889999999999</v>
      </c>
      <c r="C203" s="55">
        <v>41</v>
      </c>
      <c r="D203" s="55">
        <v>0.96899199999999996</v>
      </c>
      <c r="E203" s="56">
        <v>48</v>
      </c>
      <c r="F203" s="57">
        <v>0.97515200000000002</v>
      </c>
      <c r="G203" s="54">
        <v>55</v>
      </c>
      <c r="H203" s="55">
        <v>1.0100119999999999</v>
      </c>
      <c r="I203" s="55">
        <f t="shared" si="9"/>
        <v>48</v>
      </c>
      <c r="J203" s="55">
        <v>0.98998399999999998</v>
      </c>
      <c r="K203" s="55">
        <f t="shared" si="10"/>
        <v>54</v>
      </c>
      <c r="L203" s="57">
        <v>1.011924</v>
      </c>
      <c r="M203" s="54">
        <v>55</v>
      </c>
      <c r="N203" s="55">
        <v>0.96050000000000002</v>
      </c>
      <c r="O203" s="56">
        <v>55</v>
      </c>
      <c r="P203" s="55">
        <v>0.960318</v>
      </c>
      <c r="Q203" s="55">
        <v>53</v>
      </c>
      <c r="R203" s="57">
        <v>0.955982</v>
      </c>
      <c r="S203" s="14"/>
      <c r="T203" s="14"/>
      <c r="U203" s="14"/>
      <c r="V203" s="8" cm="1">
        <f t="array" ref="V20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202)+1),6),"")</f>
        <v>0.57847300000000001</v>
      </c>
      <c r="W203" s="9">
        <f t="shared" si="11"/>
        <v>9483.9094751992852</v>
      </c>
      <c r="Y203" s="11"/>
      <c r="Z203" s="8"/>
      <c r="AA203" s="9"/>
      <c r="AB203" s="10"/>
    </row>
    <row r="204" spans="1:28" x14ac:dyDescent="0.25">
      <c r="A204" s="54">
        <v>54</v>
      </c>
      <c r="B204" s="55">
        <v>1.0009220000000001</v>
      </c>
      <c r="C204" s="55">
        <v>40</v>
      </c>
      <c r="D204" s="55">
        <v>0.965588</v>
      </c>
      <c r="E204" s="56">
        <v>47</v>
      </c>
      <c r="F204" s="57">
        <v>0.97100200000000003</v>
      </c>
      <c r="G204" s="54">
        <v>54</v>
      </c>
      <c r="H204" s="55">
        <v>1.0080249999999999</v>
      </c>
      <c r="I204" s="55">
        <f t="shared" si="9"/>
        <v>47</v>
      </c>
      <c r="J204" s="55">
        <v>0.98799800000000004</v>
      </c>
      <c r="K204" s="55">
        <f t="shared" si="10"/>
        <v>53</v>
      </c>
      <c r="L204" s="57">
        <v>1.009215</v>
      </c>
      <c r="M204" s="54">
        <v>54</v>
      </c>
      <c r="N204" s="55">
        <v>0.95597900000000002</v>
      </c>
      <c r="O204" s="56">
        <v>54</v>
      </c>
      <c r="P204" s="55">
        <v>0.95596700000000001</v>
      </c>
      <c r="Q204" s="55">
        <v>52</v>
      </c>
      <c r="R204" s="57">
        <v>0.95277100000000003</v>
      </c>
      <c r="S204" s="14"/>
      <c r="T204" s="14"/>
      <c r="U204" s="14"/>
      <c r="V204" s="8" cm="1">
        <f t="array" ref="V20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203)+1),6),"")</f>
        <v>0.58168399999999998</v>
      </c>
      <c r="W204" s="9">
        <f t="shared" si="11"/>
        <v>9536.5529578248606</v>
      </c>
      <c r="Y204" s="11"/>
      <c r="Z204" s="8"/>
      <c r="AA204" s="9"/>
      <c r="AB204" s="10"/>
    </row>
    <row r="205" spans="1:28" x14ac:dyDescent="0.25">
      <c r="A205" s="54">
        <v>53</v>
      </c>
      <c r="B205" s="55">
        <v>0.99648000000000003</v>
      </c>
      <c r="C205" s="55">
        <v>39</v>
      </c>
      <c r="D205" s="55">
        <v>0.96099999999999997</v>
      </c>
      <c r="E205" s="56">
        <v>45</v>
      </c>
      <c r="F205" s="57">
        <v>0.96896899999999997</v>
      </c>
      <c r="G205" s="54">
        <v>53</v>
      </c>
      <c r="H205" s="55">
        <v>1.00457</v>
      </c>
      <c r="I205" s="55">
        <f t="shared" si="9"/>
        <v>46</v>
      </c>
      <c r="J205" s="55">
        <v>0.98599800000000004</v>
      </c>
      <c r="K205" s="55">
        <f t="shared" si="10"/>
        <v>52</v>
      </c>
      <c r="L205" s="57">
        <v>1.006105</v>
      </c>
      <c r="M205" s="54">
        <v>53</v>
      </c>
      <c r="N205" s="55">
        <v>0.95358600000000004</v>
      </c>
      <c r="O205" s="56">
        <v>53</v>
      </c>
      <c r="P205" s="55">
        <v>0.95320499999999997</v>
      </c>
      <c r="Q205" s="55">
        <v>51</v>
      </c>
      <c r="R205" s="57">
        <v>0.95198799999999995</v>
      </c>
      <c r="S205" s="14"/>
      <c r="T205" s="14"/>
      <c r="U205" s="14"/>
      <c r="V205" s="8" cm="1">
        <f t="array" ref="V20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204)+1),6),"")</f>
        <v>0.58246699999999996</v>
      </c>
      <c r="W205" s="9">
        <f t="shared" si="11"/>
        <v>9549.390032535488</v>
      </c>
      <c r="Y205" s="11"/>
      <c r="Z205" s="8"/>
      <c r="AA205" s="9"/>
      <c r="AB205" s="10"/>
    </row>
    <row r="206" spans="1:28" x14ac:dyDescent="0.25">
      <c r="A206" s="54">
        <v>52</v>
      </c>
      <c r="B206" s="55">
        <v>0.99439299999999997</v>
      </c>
      <c r="C206" s="55">
        <v>38</v>
      </c>
      <c r="D206" s="55">
        <v>0.95765999999999996</v>
      </c>
      <c r="E206" s="56">
        <v>45</v>
      </c>
      <c r="F206" s="57">
        <v>0.965781</v>
      </c>
      <c r="G206" s="54">
        <v>52</v>
      </c>
      <c r="H206" s="55">
        <v>1.0011460000000001</v>
      </c>
      <c r="I206" s="55">
        <f t="shared" si="9"/>
        <v>45</v>
      </c>
      <c r="J206" s="55">
        <v>0.98199999999999998</v>
      </c>
      <c r="K206" s="55">
        <f t="shared" si="10"/>
        <v>51</v>
      </c>
      <c r="L206" s="57">
        <v>1.001979</v>
      </c>
      <c r="M206" s="54">
        <v>52</v>
      </c>
      <c r="N206" s="55">
        <v>0.95154300000000003</v>
      </c>
      <c r="O206" s="56">
        <v>52</v>
      </c>
      <c r="P206" s="55">
        <v>0.95054700000000003</v>
      </c>
      <c r="Q206" s="55">
        <v>50</v>
      </c>
      <c r="R206" s="57">
        <v>0.94829300000000005</v>
      </c>
      <c r="S206" s="14"/>
      <c r="T206" s="14"/>
      <c r="U206" s="14"/>
      <c r="V206" s="8" cm="1">
        <f t="array" ref="V20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205)+1),6),"")</f>
        <v>0.58616199999999996</v>
      </c>
      <c r="W206" s="9">
        <f t="shared" si="11"/>
        <v>9609.9685651737655</v>
      </c>
      <c r="Y206" s="11"/>
      <c r="Z206" s="8"/>
      <c r="AA206" s="9"/>
      <c r="AB206" s="10"/>
    </row>
    <row r="207" spans="1:28" x14ac:dyDescent="0.25">
      <c r="A207" s="54">
        <v>51</v>
      </c>
      <c r="B207" s="55">
        <v>0.99118200000000001</v>
      </c>
      <c r="C207" s="55">
        <v>37</v>
      </c>
      <c r="D207" s="55">
        <v>0.95691599999999999</v>
      </c>
      <c r="E207" s="56">
        <v>44</v>
      </c>
      <c r="F207" s="57">
        <v>0.96074000000000004</v>
      </c>
      <c r="G207" s="54">
        <v>51</v>
      </c>
      <c r="H207" s="55">
        <v>0.99716800000000005</v>
      </c>
      <c r="I207" s="55">
        <f t="shared" si="9"/>
        <v>44</v>
      </c>
      <c r="J207" s="55">
        <v>0.97994899999999996</v>
      </c>
      <c r="K207" s="55">
        <f t="shared" si="10"/>
        <v>50</v>
      </c>
      <c r="L207" s="57">
        <v>0.99994899999999998</v>
      </c>
      <c r="M207" s="54">
        <v>51</v>
      </c>
      <c r="N207" s="55">
        <v>0.94800200000000001</v>
      </c>
      <c r="O207" s="56">
        <v>51</v>
      </c>
      <c r="P207" s="55">
        <v>0.94825000000000004</v>
      </c>
      <c r="Q207" s="55">
        <v>49</v>
      </c>
      <c r="R207" s="57">
        <v>0.94600200000000001</v>
      </c>
      <c r="S207" s="14"/>
      <c r="T207" s="14"/>
      <c r="U207" s="14"/>
      <c r="V207" s="8" cm="1">
        <f t="array" ref="V20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206)+1),6),"")</f>
        <v>0.588453</v>
      </c>
      <c r="W207" s="9">
        <f t="shared" si="11"/>
        <v>9647.5288948826401</v>
      </c>
      <c r="Y207" s="11"/>
      <c r="Z207" s="8"/>
      <c r="AA207" s="9"/>
      <c r="AB207" s="10"/>
    </row>
    <row r="208" spans="1:28" x14ac:dyDescent="0.25">
      <c r="A208" s="54">
        <v>50</v>
      </c>
      <c r="B208" s="55">
        <v>0.98898799999999998</v>
      </c>
      <c r="C208" s="55">
        <v>36</v>
      </c>
      <c r="D208" s="55">
        <v>0.95301599999999997</v>
      </c>
      <c r="E208" s="56">
        <v>43</v>
      </c>
      <c r="F208" s="57">
        <v>0.95858399999999999</v>
      </c>
      <c r="G208" s="54">
        <v>50</v>
      </c>
      <c r="H208" s="55">
        <v>0.99530099999999999</v>
      </c>
      <c r="I208" s="55">
        <f t="shared" si="9"/>
        <v>43</v>
      </c>
      <c r="J208" s="55">
        <v>0.97601599999999999</v>
      </c>
      <c r="K208" s="55">
        <f t="shared" si="10"/>
        <v>49</v>
      </c>
      <c r="L208" s="57">
        <v>0.99585699999999999</v>
      </c>
      <c r="M208" s="54">
        <v>50</v>
      </c>
      <c r="N208" s="55">
        <v>0.94505099999999997</v>
      </c>
      <c r="O208" s="56">
        <v>50</v>
      </c>
      <c r="P208" s="55">
        <v>0.94594900000000004</v>
      </c>
      <c r="Q208" s="55">
        <v>48</v>
      </c>
      <c r="R208" s="57">
        <v>0.94190799999999997</v>
      </c>
      <c r="S208" s="14"/>
      <c r="T208" s="14"/>
      <c r="U208" s="14"/>
      <c r="V208" s="8" cm="1">
        <f t="array" ref="V20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207)+1),6),"")</f>
        <v>0.59254700000000005</v>
      </c>
      <c r="W208" s="9">
        <f t="shared" si="11"/>
        <v>9714.6489253619638</v>
      </c>
      <c r="Y208" s="11"/>
      <c r="Z208" s="8"/>
      <c r="AA208" s="9"/>
      <c r="AB208" s="10"/>
    </row>
    <row r="209" spans="1:28" x14ac:dyDescent="0.25">
      <c r="A209" s="54">
        <v>49</v>
      </c>
      <c r="B209" s="55">
        <v>0.98593399999999998</v>
      </c>
      <c r="C209" s="55">
        <v>35</v>
      </c>
      <c r="D209" s="55">
        <v>0.95096700000000001</v>
      </c>
      <c r="E209" s="56">
        <v>42</v>
      </c>
      <c r="F209" s="57">
        <v>0.95573799999999998</v>
      </c>
      <c r="G209" s="54">
        <v>49</v>
      </c>
      <c r="H209" s="55">
        <v>0.99118399999999995</v>
      </c>
      <c r="I209" s="55">
        <f t="shared" si="9"/>
        <v>42</v>
      </c>
      <c r="J209" s="55">
        <v>0.97199599999999997</v>
      </c>
      <c r="K209" s="55">
        <f t="shared" si="10"/>
        <v>48</v>
      </c>
      <c r="L209" s="57">
        <v>0.99327699999999997</v>
      </c>
      <c r="M209" s="54">
        <v>49</v>
      </c>
      <c r="N209" s="55">
        <v>0.94140199999999996</v>
      </c>
      <c r="O209" s="56">
        <v>49</v>
      </c>
      <c r="P209" s="55">
        <v>0.94192799999999999</v>
      </c>
      <c r="Q209" s="55">
        <v>47</v>
      </c>
      <c r="R209" s="57">
        <v>0.93796299999999999</v>
      </c>
      <c r="S209" s="14"/>
      <c r="T209" s="14"/>
      <c r="U209" s="14"/>
      <c r="V209" s="8" cm="1">
        <f t="array" ref="V20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208)+1),6),"")</f>
        <v>0.59649200000000002</v>
      </c>
      <c r="W209" s="9">
        <f t="shared" si="11"/>
        <v>9779.3261408580383</v>
      </c>
      <c r="Y209" s="11"/>
      <c r="Z209" s="8"/>
      <c r="AA209" s="9"/>
      <c r="AB209" s="10"/>
    </row>
    <row r="210" spans="1:28" x14ac:dyDescent="0.25">
      <c r="A210" s="54">
        <v>48</v>
      </c>
      <c r="B210" s="55">
        <v>0.98385199999999995</v>
      </c>
      <c r="C210" s="55">
        <v>34</v>
      </c>
      <c r="D210" s="55">
        <v>0.94630099999999995</v>
      </c>
      <c r="E210" s="56">
        <v>41</v>
      </c>
      <c r="F210" s="57">
        <v>0.95293899999999998</v>
      </c>
      <c r="G210" s="54">
        <v>48</v>
      </c>
      <c r="H210" s="55">
        <v>0.98874799999999996</v>
      </c>
      <c r="I210" s="55">
        <f t="shared" si="9"/>
        <v>41</v>
      </c>
      <c r="J210" s="55">
        <v>0.96990799999999999</v>
      </c>
      <c r="K210" s="55">
        <f t="shared" si="10"/>
        <v>47</v>
      </c>
      <c r="L210" s="57">
        <v>0.98805500000000002</v>
      </c>
      <c r="M210" s="54">
        <v>48</v>
      </c>
      <c r="N210" s="55">
        <v>0.93789299999999998</v>
      </c>
      <c r="O210" s="56">
        <v>48</v>
      </c>
      <c r="P210" s="55">
        <v>0.93801000000000001</v>
      </c>
      <c r="Q210" s="55">
        <v>46</v>
      </c>
      <c r="R210" s="57">
        <v>0.93540000000000001</v>
      </c>
      <c r="S210" s="14"/>
      <c r="T210" s="14"/>
      <c r="U210" s="14"/>
      <c r="V210" s="8" cm="1">
        <f t="array" ref="V21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209)+1),6),"")</f>
        <v>0.599055</v>
      </c>
      <c r="W210" s="9">
        <f t="shared" si="11"/>
        <v>9821.345837516199</v>
      </c>
      <c r="Y210" s="11"/>
      <c r="Z210" s="8"/>
      <c r="AA210" s="9"/>
      <c r="AB210" s="10"/>
    </row>
    <row r="211" spans="1:28" x14ac:dyDescent="0.25">
      <c r="A211" s="54">
        <v>47</v>
      </c>
      <c r="B211" s="55">
        <v>0.97916999999999998</v>
      </c>
      <c r="C211" s="55">
        <v>33</v>
      </c>
      <c r="D211" s="55">
        <v>0.94308599999999998</v>
      </c>
      <c r="E211" s="56">
        <v>39</v>
      </c>
      <c r="F211" s="57">
        <v>0.94705300000000003</v>
      </c>
      <c r="G211" s="54">
        <v>47</v>
      </c>
      <c r="H211" s="55">
        <v>0.98589300000000002</v>
      </c>
      <c r="I211" s="55">
        <f t="shared" si="9"/>
        <v>40</v>
      </c>
      <c r="J211" s="55">
        <v>0.96768399999999999</v>
      </c>
      <c r="K211" s="55">
        <f t="shared" si="10"/>
        <v>46</v>
      </c>
      <c r="L211" s="57">
        <v>0.98600600000000005</v>
      </c>
      <c r="M211" s="54">
        <v>47</v>
      </c>
      <c r="N211" s="55">
        <v>0.93537300000000001</v>
      </c>
      <c r="O211" s="56">
        <v>47</v>
      </c>
      <c r="P211" s="55">
        <v>0.93598599999999998</v>
      </c>
      <c r="Q211" s="55">
        <v>45</v>
      </c>
      <c r="R211" s="57">
        <v>0.932002</v>
      </c>
      <c r="S211" s="14"/>
      <c r="T211" s="14"/>
      <c r="U211" s="14"/>
      <c r="V211" s="8" cm="1">
        <f t="array" ref="V21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210)+1),6),"")</f>
        <v>0.60245300000000002</v>
      </c>
      <c r="W211" s="9">
        <f t="shared" si="11"/>
        <v>9877.0551349194084</v>
      </c>
      <c r="Y211" s="11"/>
      <c r="Z211" s="8"/>
      <c r="AA211" s="9"/>
      <c r="AB211" s="10"/>
    </row>
    <row r="212" spans="1:28" x14ac:dyDescent="0.25">
      <c r="A212" s="54">
        <v>46</v>
      </c>
      <c r="B212" s="55">
        <v>0.97701400000000005</v>
      </c>
      <c r="C212" s="55">
        <v>32</v>
      </c>
      <c r="D212" s="55">
        <v>0.94051799999999997</v>
      </c>
      <c r="E212" s="56">
        <v>38</v>
      </c>
      <c r="F212" s="57">
        <v>0.94470500000000002</v>
      </c>
      <c r="G212" s="54">
        <v>46</v>
      </c>
      <c r="H212" s="55">
        <v>0.98200200000000004</v>
      </c>
      <c r="I212" s="55">
        <f t="shared" si="9"/>
        <v>39</v>
      </c>
      <c r="J212" s="55">
        <v>0.96058200000000005</v>
      </c>
      <c r="K212" s="55">
        <f t="shared" si="10"/>
        <v>45</v>
      </c>
      <c r="L212" s="57">
        <v>0.98211700000000002</v>
      </c>
      <c r="M212" s="54">
        <v>46</v>
      </c>
      <c r="N212" s="55">
        <v>0.93200000000000005</v>
      </c>
      <c r="O212" s="56">
        <v>46</v>
      </c>
      <c r="P212" s="55">
        <v>0.93220499999999995</v>
      </c>
      <c r="Q212" s="55">
        <v>44</v>
      </c>
      <c r="R212" s="57">
        <v>0.92932000000000003</v>
      </c>
      <c r="S212" s="14"/>
      <c r="T212" s="14"/>
      <c r="U212" s="14"/>
      <c r="V212" s="8" cm="1">
        <f t="array" ref="V21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211)+1),6),"")</f>
        <v>0.60513499999999998</v>
      </c>
      <c r="W212" s="9">
        <f t="shared" si="11"/>
        <v>9921.0258046178806</v>
      </c>
      <c r="Y212" s="11"/>
      <c r="Z212" s="8"/>
      <c r="AA212" s="9"/>
      <c r="AB212" s="10"/>
    </row>
    <row r="213" spans="1:28" x14ac:dyDescent="0.25">
      <c r="A213" s="54">
        <v>45</v>
      </c>
      <c r="B213" s="55">
        <v>0.97308600000000001</v>
      </c>
      <c r="C213" s="55">
        <v>31</v>
      </c>
      <c r="D213" s="55">
        <v>0.93807600000000002</v>
      </c>
      <c r="E213" s="56">
        <v>37</v>
      </c>
      <c r="F213" s="57">
        <v>0.94102300000000005</v>
      </c>
      <c r="G213" s="54">
        <v>45</v>
      </c>
      <c r="H213" s="55">
        <v>0.97893799999999997</v>
      </c>
      <c r="I213" s="55">
        <f t="shared" si="9"/>
        <v>38</v>
      </c>
      <c r="J213" s="55">
        <v>0.95853699999999997</v>
      </c>
      <c r="K213" s="55">
        <f t="shared" si="10"/>
        <v>44</v>
      </c>
      <c r="L213" s="57">
        <v>0.980016</v>
      </c>
      <c r="M213" s="54">
        <v>45</v>
      </c>
      <c r="N213" s="55">
        <v>0.92998599999999998</v>
      </c>
      <c r="O213" s="56">
        <v>45</v>
      </c>
      <c r="P213" s="55">
        <v>0.93</v>
      </c>
      <c r="Q213" s="55">
        <v>43</v>
      </c>
      <c r="R213" s="57">
        <v>0.92800000000000005</v>
      </c>
      <c r="S213" s="14"/>
      <c r="T213" s="14"/>
      <c r="U213" s="14"/>
      <c r="V213" s="8" cm="1">
        <f t="array" ref="V21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212)+1),6),"")</f>
        <v>0.60645499999999997</v>
      </c>
      <c r="W213" s="9">
        <f t="shared" si="11"/>
        <v>9942.6668501070617</v>
      </c>
      <c r="Y213" s="11"/>
      <c r="Z213" s="8"/>
      <c r="AA213" s="9"/>
      <c r="AB213" s="10"/>
    </row>
    <row r="214" spans="1:28" x14ac:dyDescent="0.25">
      <c r="A214" s="54">
        <v>44</v>
      </c>
      <c r="B214" s="55">
        <v>0.97036500000000003</v>
      </c>
      <c r="C214" s="55">
        <v>30</v>
      </c>
      <c r="D214" s="55">
        <v>0.93499600000000005</v>
      </c>
      <c r="E214" s="56">
        <v>36</v>
      </c>
      <c r="F214" s="57">
        <v>0.93964499999999995</v>
      </c>
      <c r="G214" s="54">
        <v>44</v>
      </c>
      <c r="H214" s="55">
        <v>0.97652899999999998</v>
      </c>
      <c r="I214" s="55">
        <f t="shared" si="9"/>
        <v>37</v>
      </c>
      <c r="J214" s="55">
        <v>0.95608800000000005</v>
      </c>
      <c r="K214" s="55">
        <f t="shared" si="10"/>
        <v>43</v>
      </c>
      <c r="L214" s="57">
        <v>0.97790200000000005</v>
      </c>
      <c r="M214" s="54">
        <v>44</v>
      </c>
      <c r="N214" s="55">
        <v>0.92798000000000003</v>
      </c>
      <c r="O214" s="56">
        <v>44</v>
      </c>
      <c r="P214" s="55">
        <v>0.92799799999999999</v>
      </c>
      <c r="Q214" s="55">
        <v>42</v>
      </c>
      <c r="R214" s="57">
        <v>0.92593599999999998</v>
      </c>
      <c r="S214" s="14"/>
      <c r="T214" s="14"/>
      <c r="U214" s="14"/>
      <c r="V214" s="8" cm="1">
        <f t="array" ref="V21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213)+1),6),"")</f>
        <v>0.60851900000000003</v>
      </c>
      <c r="W214" s="9">
        <f t="shared" si="11"/>
        <v>9976.5055757810551</v>
      </c>
      <c r="Y214" s="11"/>
      <c r="Z214" s="8"/>
      <c r="AA214" s="9"/>
      <c r="AB214" s="10"/>
    </row>
    <row r="215" spans="1:28" x14ac:dyDescent="0.25">
      <c r="A215" s="54">
        <v>43</v>
      </c>
      <c r="B215" s="55">
        <v>0.96809199999999995</v>
      </c>
      <c r="C215" s="55">
        <v>29</v>
      </c>
      <c r="D215" s="55">
        <v>0.93300000000000005</v>
      </c>
      <c r="E215" s="56">
        <v>35</v>
      </c>
      <c r="F215" s="57">
        <v>0.93668200000000001</v>
      </c>
      <c r="G215" s="54">
        <v>43</v>
      </c>
      <c r="H215" s="55">
        <v>0.97202</v>
      </c>
      <c r="I215" s="55">
        <f t="shared" si="9"/>
        <v>36</v>
      </c>
      <c r="J215" s="55">
        <v>0.95400200000000002</v>
      </c>
      <c r="K215" s="55">
        <f t="shared" si="10"/>
        <v>42</v>
      </c>
      <c r="L215" s="57">
        <v>0.97455899999999995</v>
      </c>
      <c r="M215" s="54">
        <v>43</v>
      </c>
      <c r="N215" s="55">
        <v>0.92408599999999996</v>
      </c>
      <c r="O215" s="56">
        <v>43</v>
      </c>
      <c r="P215" s="55">
        <v>0.925979</v>
      </c>
      <c r="Q215" s="55">
        <v>41</v>
      </c>
      <c r="R215" s="57">
        <v>0.92164500000000005</v>
      </c>
      <c r="S215" s="14"/>
      <c r="T215" s="14"/>
      <c r="U215" s="14"/>
      <c r="V215" s="8" cm="1">
        <f t="array" ref="V21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214)+1),6),"")</f>
        <v>0.61280999999999997</v>
      </c>
      <c r="W215" s="9">
        <f t="shared" si="11"/>
        <v>10046.855368352324</v>
      </c>
      <c r="Y215" s="11"/>
      <c r="Z215" s="8"/>
      <c r="AA215" s="9"/>
      <c r="AB215" s="10"/>
    </row>
    <row r="216" spans="1:28" x14ac:dyDescent="0.25">
      <c r="A216" s="54">
        <v>42</v>
      </c>
      <c r="B216" s="55">
        <v>0.96574599999999999</v>
      </c>
      <c r="C216" s="55">
        <v>28</v>
      </c>
      <c r="D216" s="55">
        <v>0.93089500000000003</v>
      </c>
      <c r="E216" s="56">
        <v>35</v>
      </c>
      <c r="F216" s="57">
        <v>0.93345900000000004</v>
      </c>
      <c r="G216" s="54">
        <v>42</v>
      </c>
      <c r="H216" s="55">
        <v>0.97020499999999998</v>
      </c>
      <c r="I216" s="55">
        <f t="shared" si="9"/>
        <v>35</v>
      </c>
      <c r="J216" s="55">
        <v>0.94856600000000002</v>
      </c>
      <c r="K216" s="55">
        <f t="shared" si="10"/>
        <v>41</v>
      </c>
      <c r="L216" s="57">
        <v>0.970279</v>
      </c>
      <c r="M216" s="54">
        <v>42</v>
      </c>
      <c r="N216" s="55">
        <v>0.91783800000000004</v>
      </c>
      <c r="O216" s="56">
        <v>42</v>
      </c>
      <c r="P216" s="55">
        <v>0.922342</v>
      </c>
      <c r="Q216" s="55">
        <v>40</v>
      </c>
      <c r="R216" s="57">
        <v>0.91599399999999997</v>
      </c>
      <c r="S216" s="14"/>
      <c r="T216" s="14"/>
      <c r="U216" s="14"/>
      <c r="V216" s="8" cm="1">
        <f t="array" ref="V21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215)+1),6),"")</f>
        <v>0.61846100000000004</v>
      </c>
      <c r="W216" s="9">
        <f t="shared" si="11"/>
        <v>10139.501995670023</v>
      </c>
      <c r="Y216" s="11"/>
      <c r="Z216" s="8"/>
      <c r="AA216" s="9"/>
      <c r="AB216" s="10"/>
    </row>
    <row r="217" spans="1:28" x14ac:dyDescent="0.25">
      <c r="A217" s="54">
        <v>41</v>
      </c>
      <c r="B217" s="55">
        <v>0.96004299999999998</v>
      </c>
      <c r="C217" s="55">
        <v>27</v>
      </c>
      <c r="D217" s="55">
        <v>0.92723199999999995</v>
      </c>
      <c r="E217" s="56">
        <v>33</v>
      </c>
      <c r="F217" s="57">
        <v>0.93100799999999995</v>
      </c>
      <c r="G217" s="54">
        <v>41</v>
      </c>
      <c r="H217" s="55">
        <v>0.96790200000000004</v>
      </c>
      <c r="I217" s="55">
        <f t="shared" si="9"/>
        <v>34</v>
      </c>
      <c r="J217" s="55">
        <v>0.94652499999999995</v>
      </c>
      <c r="K217" s="55">
        <f t="shared" si="10"/>
        <v>40</v>
      </c>
      <c r="L217" s="57">
        <v>0.96816199999999997</v>
      </c>
      <c r="M217" s="54">
        <v>41</v>
      </c>
      <c r="N217" s="55">
        <v>0.91569500000000004</v>
      </c>
      <c r="O217" s="56">
        <v>41</v>
      </c>
      <c r="P217" s="55">
        <v>0.91601600000000005</v>
      </c>
      <c r="Q217" s="55">
        <v>39</v>
      </c>
      <c r="R217" s="57">
        <v>0.91375200000000001</v>
      </c>
      <c r="S217" s="14"/>
      <c r="T217" s="14"/>
      <c r="U217" s="14"/>
      <c r="V217" s="8" cm="1">
        <f t="array" ref="V21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216)+1),6),"")</f>
        <v>0.620703</v>
      </c>
      <c r="W217" s="9">
        <f t="shared" si="11"/>
        <v>10176.258983538768</v>
      </c>
      <c r="Y217" s="11"/>
      <c r="Z217" s="8"/>
      <c r="AA217" s="9"/>
      <c r="AB217" s="10"/>
    </row>
    <row r="218" spans="1:28" x14ac:dyDescent="0.25">
      <c r="A218" s="54">
        <v>40</v>
      </c>
      <c r="B218" s="55">
        <v>0.95831999999999995</v>
      </c>
      <c r="C218" s="55">
        <v>26</v>
      </c>
      <c r="D218" s="55">
        <v>0.92099399999999998</v>
      </c>
      <c r="E218" s="56">
        <v>33</v>
      </c>
      <c r="F218" s="57">
        <v>0.92696100000000003</v>
      </c>
      <c r="G218" s="54">
        <v>40</v>
      </c>
      <c r="H218" s="55">
        <v>0.96255500000000005</v>
      </c>
      <c r="I218" s="55">
        <f t="shared" si="9"/>
        <v>33</v>
      </c>
      <c r="J218" s="55">
        <v>0.94249400000000005</v>
      </c>
      <c r="K218" s="55">
        <f t="shared" si="10"/>
        <v>39</v>
      </c>
      <c r="L218" s="57">
        <v>0.96201400000000004</v>
      </c>
      <c r="M218" s="54">
        <v>40</v>
      </c>
      <c r="N218" s="55">
        <v>0.91347500000000004</v>
      </c>
      <c r="O218" s="56">
        <v>40</v>
      </c>
      <c r="P218" s="55">
        <v>0.91400000000000003</v>
      </c>
      <c r="Q218" s="55">
        <v>38</v>
      </c>
      <c r="R218" s="57">
        <v>0.91026799999999997</v>
      </c>
      <c r="S218" s="14"/>
      <c r="T218" s="14"/>
      <c r="U218" s="14"/>
      <c r="V218" s="8" cm="1">
        <f t="array" ref="V21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217)+1),6),"")</f>
        <v>0.62418700000000005</v>
      </c>
      <c r="W218" s="9">
        <f t="shared" si="11"/>
        <v>10233.378227845062</v>
      </c>
      <c r="Y218" s="11"/>
      <c r="Z218" s="8"/>
      <c r="AA218" s="9"/>
      <c r="AB218" s="10"/>
    </row>
    <row r="219" spans="1:28" x14ac:dyDescent="0.25">
      <c r="A219" s="54">
        <v>39</v>
      </c>
      <c r="B219" s="55">
        <v>0.95697299999999996</v>
      </c>
      <c r="C219" s="55">
        <v>25</v>
      </c>
      <c r="D219" s="55">
        <v>0.91901200000000005</v>
      </c>
      <c r="E219" s="56">
        <v>31</v>
      </c>
      <c r="F219" s="57">
        <v>0.92098800000000003</v>
      </c>
      <c r="G219" s="54">
        <v>39</v>
      </c>
      <c r="H219" s="55">
        <v>0.95993399999999995</v>
      </c>
      <c r="I219" s="55">
        <f t="shared" si="9"/>
        <v>32</v>
      </c>
      <c r="J219" s="55">
        <v>0.94024799999999997</v>
      </c>
      <c r="K219" s="55">
        <f t="shared" si="10"/>
        <v>38</v>
      </c>
      <c r="L219" s="57">
        <v>0.96</v>
      </c>
      <c r="M219" s="54">
        <v>39</v>
      </c>
      <c r="N219" s="55">
        <v>0.91015000000000001</v>
      </c>
      <c r="O219" s="56">
        <v>39</v>
      </c>
      <c r="P219" s="55">
        <v>0.91127100000000005</v>
      </c>
      <c r="Q219" s="55">
        <v>37</v>
      </c>
      <c r="R219" s="57">
        <v>0.908049</v>
      </c>
      <c r="S219" s="14"/>
      <c r="T219" s="14"/>
      <c r="U219" s="14"/>
      <c r="V219" s="8" cm="1">
        <f t="array" ref="V21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218)+1),6),"")</f>
        <v>0.62640600000000002</v>
      </c>
      <c r="W219" s="9">
        <f t="shared" si="11"/>
        <v>10269.75813689089</v>
      </c>
      <c r="Y219" s="11"/>
      <c r="Z219" s="8"/>
      <c r="AA219" s="9"/>
      <c r="AB219" s="10"/>
    </row>
    <row r="220" spans="1:28" x14ac:dyDescent="0.25">
      <c r="A220" s="54">
        <v>38</v>
      </c>
      <c r="B220" s="55">
        <v>0.954982</v>
      </c>
      <c r="C220" s="55">
        <v>24</v>
      </c>
      <c r="D220" s="55">
        <v>0.916883</v>
      </c>
      <c r="E220" s="56">
        <v>30</v>
      </c>
      <c r="F220" s="57">
        <v>0.91897099999999998</v>
      </c>
      <c r="G220" s="54">
        <v>38</v>
      </c>
      <c r="H220" s="55">
        <v>0.95799800000000002</v>
      </c>
      <c r="I220" s="55">
        <f t="shared" si="9"/>
        <v>31</v>
      </c>
      <c r="J220" s="55">
        <v>0.93663300000000005</v>
      </c>
      <c r="K220" s="55">
        <f t="shared" si="10"/>
        <v>37</v>
      </c>
      <c r="L220" s="57">
        <v>0.95797500000000002</v>
      </c>
      <c r="M220" s="54">
        <v>38</v>
      </c>
      <c r="N220" s="55">
        <v>0.90802099999999997</v>
      </c>
      <c r="O220" s="56">
        <v>38</v>
      </c>
      <c r="P220" s="55">
        <v>0.90833200000000003</v>
      </c>
      <c r="Q220" s="55">
        <v>36</v>
      </c>
      <c r="R220" s="57">
        <v>0.90472900000000001</v>
      </c>
      <c r="S220" s="14"/>
      <c r="T220" s="14"/>
      <c r="U220" s="14"/>
      <c r="V220" s="8" cm="1">
        <f t="array" ref="V22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219)+1),6),"")</f>
        <v>0.62972600000000001</v>
      </c>
      <c r="W220" s="9">
        <f t="shared" si="11"/>
        <v>10324.188645242466</v>
      </c>
      <c r="Y220" s="11"/>
      <c r="Z220" s="8"/>
      <c r="AA220" s="9"/>
      <c r="AB220" s="10"/>
    </row>
    <row r="221" spans="1:28" x14ac:dyDescent="0.25">
      <c r="A221" s="54">
        <v>37</v>
      </c>
      <c r="B221" s="55">
        <v>0.95105700000000004</v>
      </c>
      <c r="C221" s="55">
        <v>23</v>
      </c>
      <c r="D221" s="55">
        <v>0.91469100000000003</v>
      </c>
      <c r="E221" s="56">
        <v>29</v>
      </c>
      <c r="F221" s="57">
        <v>0.91633399999999998</v>
      </c>
      <c r="G221" s="54">
        <v>37</v>
      </c>
      <c r="H221" s="55">
        <v>0.95406100000000005</v>
      </c>
      <c r="I221" s="55">
        <f t="shared" si="9"/>
        <v>30</v>
      </c>
      <c r="J221" s="55">
        <v>0.93411299999999997</v>
      </c>
      <c r="K221" s="55">
        <f t="shared" si="10"/>
        <v>36</v>
      </c>
      <c r="L221" s="57">
        <v>0.95537099999999997</v>
      </c>
      <c r="M221" s="54">
        <v>37</v>
      </c>
      <c r="N221" s="55">
        <v>0.90542599999999995</v>
      </c>
      <c r="O221" s="56">
        <v>37</v>
      </c>
      <c r="P221" s="55">
        <v>0.90533600000000003</v>
      </c>
      <c r="Q221" s="55">
        <v>35</v>
      </c>
      <c r="R221" s="57">
        <v>0.90387300000000004</v>
      </c>
      <c r="S221" s="14"/>
      <c r="T221" s="14"/>
      <c r="U221" s="14"/>
      <c r="V221" s="8" cm="1">
        <f t="array" ref="V22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220)+1),6),"")</f>
        <v>0.63058199999999998</v>
      </c>
      <c r="W221" s="9">
        <f t="shared" si="11"/>
        <v>10338.222535347571</v>
      </c>
      <c r="Y221" s="11"/>
      <c r="Z221" s="8"/>
      <c r="AA221" s="9"/>
      <c r="AB221" s="10"/>
    </row>
    <row r="222" spans="1:28" x14ac:dyDescent="0.25">
      <c r="A222" s="54">
        <v>36</v>
      </c>
      <c r="B222" s="55">
        <v>0.94699999999999995</v>
      </c>
      <c r="C222" s="55">
        <v>22</v>
      </c>
      <c r="D222" s="55">
        <v>0.91093199999999996</v>
      </c>
      <c r="E222" s="56">
        <v>28</v>
      </c>
      <c r="F222" s="57">
        <v>0.91297499999999998</v>
      </c>
      <c r="G222" s="54">
        <v>36</v>
      </c>
      <c r="H222" s="55">
        <v>0.95199</v>
      </c>
      <c r="I222" s="55">
        <f t="shared" si="9"/>
        <v>29</v>
      </c>
      <c r="J222" s="55">
        <v>0.932002</v>
      </c>
      <c r="K222" s="55">
        <f t="shared" si="10"/>
        <v>35</v>
      </c>
      <c r="L222" s="57">
        <v>0.95217600000000002</v>
      </c>
      <c r="M222" s="54">
        <v>36</v>
      </c>
      <c r="N222" s="55">
        <v>0.90250200000000003</v>
      </c>
      <c r="O222" s="56">
        <v>36</v>
      </c>
      <c r="P222" s="55">
        <v>0.902281</v>
      </c>
      <c r="Q222" s="55">
        <v>34</v>
      </c>
      <c r="R222" s="57">
        <v>0.89996900000000002</v>
      </c>
      <c r="S222" s="14"/>
      <c r="T222" s="14"/>
      <c r="U222" s="14"/>
      <c r="V222" s="8" cm="1">
        <f t="array" ref="V22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221)+1),6),"")</f>
        <v>0.63448599999999999</v>
      </c>
      <c r="W222" s="9">
        <f t="shared" si="11"/>
        <v>10402.227566854968</v>
      </c>
      <c r="Y222" s="11"/>
      <c r="Z222" s="8"/>
      <c r="AA222" s="9"/>
      <c r="AB222" s="10"/>
    </row>
    <row r="223" spans="1:28" x14ac:dyDescent="0.25">
      <c r="A223" s="54">
        <v>35</v>
      </c>
      <c r="B223" s="55">
        <v>0.94416999999999995</v>
      </c>
      <c r="C223" s="55">
        <v>21</v>
      </c>
      <c r="D223" s="55">
        <v>0.90900000000000003</v>
      </c>
      <c r="E223" s="56">
        <v>27</v>
      </c>
      <c r="F223" s="57">
        <v>0.90957200000000005</v>
      </c>
      <c r="G223" s="54">
        <v>35</v>
      </c>
      <c r="H223" s="55">
        <v>0.947986</v>
      </c>
      <c r="I223" s="55">
        <f t="shared" si="9"/>
        <v>28</v>
      </c>
      <c r="J223" s="55">
        <v>0.92998999999999998</v>
      </c>
      <c r="K223" s="55">
        <f t="shared" si="10"/>
        <v>34</v>
      </c>
      <c r="L223" s="57">
        <v>0.94799800000000001</v>
      </c>
      <c r="M223" s="54">
        <v>35</v>
      </c>
      <c r="N223" s="55">
        <v>0.89817400000000003</v>
      </c>
      <c r="O223" s="56">
        <v>35</v>
      </c>
      <c r="P223" s="55">
        <v>0.89998199999999995</v>
      </c>
      <c r="Q223" s="55">
        <v>33</v>
      </c>
      <c r="R223" s="57">
        <v>0.89768000000000003</v>
      </c>
      <c r="S223" s="14"/>
      <c r="T223" s="14"/>
      <c r="U223" s="14"/>
      <c r="V223" s="8" cm="1">
        <f t="array" ref="V22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222)+1),6),"")</f>
        <v>0.63677499999999998</v>
      </c>
      <c r="W223" s="9">
        <f t="shared" si="11"/>
        <v>10439.755107100978</v>
      </c>
      <c r="Y223" s="11"/>
      <c r="Z223" s="8"/>
      <c r="AA223" s="9"/>
      <c r="AB223" s="10"/>
    </row>
    <row r="224" spans="1:28" x14ac:dyDescent="0.25">
      <c r="A224" s="54">
        <v>34</v>
      </c>
      <c r="B224" s="55">
        <v>0.94111900000000004</v>
      </c>
      <c r="C224" s="55">
        <v>20</v>
      </c>
      <c r="D224" s="55">
        <v>0.90499399999999997</v>
      </c>
      <c r="E224" s="56">
        <v>27</v>
      </c>
      <c r="F224" s="57">
        <v>0.90657200000000004</v>
      </c>
      <c r="G224" s="54">
        <v>34</v>
      </c>
      <c r="H224" s="55">
        <v>0.94491999999999998</v>
      </c>
      <c r="I224" s="55">
        <f t="shared" si="9"/>
        <v>27</v>
      </c>
      <c r="J224" s="55">
        <v>0.92218199999999995</v>
      </c>
      <c r="K224" s="55">
        <f t="shared" si="10"/>
        <v>33</v>
      </c>
      <c r="L224" s="57">
        <v>0.94442999999999999</v>
      </c>
      <c r="M224" s="54">
        <v>34</v>
      </c>
      <c r="N224" s="55">
        <v>0.89402300000000001</v>
      </c>
      <c r="O224" s="56">
        <v>34</v>
      </c>
      <c r="P224" s="55">
        <v>0.89752299999999996</v>
      </c>
      <c r="Q224" s="55">
        <v>32</v>
      </c>
      <c r="R224" s="57">
        <v>0.89217800000000003</v>
      </c>
      <c r="S224" s="14"/>
      <c r="T224" s="14"/>
      <c r="U224" s="14"/>
      <c r="V224" s="8" cm="1">
        <f t="array" ref="V22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223)+1),6),"")</f>
        <v>0.64227699999999999</v>
      </c>
      <c r="W224" s="9">
        <f t="shared" si="11"/>
        <v>10529.95891943543</v>
      </c>
      <c r="Y224" s="11"/>
      <c r="Z224" s="8"/>
      <c r="AA224" s="9"/>
      <c r="AB224" s="10"/>
    </row>
    <row r="225" spans="1:28" x14ac:dyDescent="0.25">
      <c r="A225" s="54">
        <v>33</v>
      </c>
      <c r="B225" s="55">
        <v>0.93744099999999997</v>
      </c>
      <c r="C225" s="55">
        <v>19</v>
      </c>
      <c r="D225" s="55">
        <v>0.90299600000000002</v>
      </c>
      <c r="E225" s="56">
        <v>25</v>
      </c>
      <c r="F225" s="57">
        <v>0.90309200000000001</v>
      </c>
      <c r="G225" s="54">
        <v>33</v>
      </c>
      <c r="H225" s="55">
        <v>0.94193700000000002</v>
      </c>
      <c r="I225" s="55">
        <f t="shared" si="9"/>
        <v>26</v>
      </c>
      <c r="J225" s="55">
        <v>0.92006100000000002</v>
      </c>
      <c r="K225" s="55">
        <f t="shared" si="10"/>
        <v>32</v>
      </c>
      <c r="L225" s="57">
        <v>0.94200600000000001</v>
      </c>
      <c r="M225" s="54">
        <v>33</v>
      </c>
      <c r="N225" s="55">
        <v>0.89180499999999996</v>
      </c>
      <c r="O225" s="56">
        <v>33</v>
      </c>
      <c r="P225" s="55">
        <v>0.892293</v>
      </c>
      <c r="Q225" s="55">
        <v>31</v>
      </c>
      <c r="R225" s="57">
        <v>0.88599000000000006</v>
      </c>
      <c r="S225" s="14"/>
      <c r="T225" s="14"/>
      <c r="U225" s="14"/>
      <c r="V225" s="8" cm="1">
        <f t="array" ref="V22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224)+1),6),"")</f>
        <v>0.64846499999999996</v>
      </c>
      <c r="W225" s="9">
        <f t="shared" si="11"/>
        <v>10631.409517531682</v>
      </c>
      <c r="Y225" s="11"/>
      <c r="Z225" s="8"/>
      <c r="AA225" s="9"/>
      <c r="AB225" s="10"/>
    </row>
    <row r="226" spans="1:28" x14ac:dyDescent="0.25">
      <c r="A226" s="54">
        <v>32</v>
      </c>
      <c r="B226" s="55">
        <v>0.935531</v>
      </c>
      <c r="C226" s="55">
        <v>18</v>
      </c>
      <c r="D226" s="55">
        <v>0.89734999999999998</v>
      </c>
      <c r="E226" s="56">
        <v>25</v>
      </c>
      <c r="F226" s="57">
        <v>0.89884399999999998</v>
      </c>
      <c r="G226" s="54">
        <v>32</v>
      </c>
      <c r="H226" s="55">
        <v>0.938141</v>
      </c>
      <c r="I226" s="55">
        <f t="shared" si="9"/>
        <v>25</v>
      </c>
      <c r="J226" s="55">
        <v>0.91800999999999999</v>
      </c>
      <c r="K226" s="55">
        <f t="shared" si="10"/>
        <v>31</v>
      </c>
      <c r="L226" s="57">
        <v>0.94081099999999995</v>
      </c>
      <c r="M226" s="54">
        <v>32</v>
      </c>
      <c r="N226" s="55">
        <v>0.88950799999999997</v>
      </c>
      <c r="O226" s="56">
        <v>32</v>
      </c>
      <c r="P226" s="55">
        <v>0.88998200000000005</v>
      </c>
      <c r="Q226" s="55">
        <v>30</v>
      </c>
      <c r="R226" s="57">
        <v>0.88021300000000002</v>
      </c>
      <c r="S226" s="14"/>
      <c r="T226" s="14"/>
      <c r="U226" s="14"/>
      <c r="V226" s="8" cm="1">
        <f t="array" ref="V22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225)+1),6),"")</f>
        <v>0.65424199999999999</v>
      </c>
      <c r="W226" s="9">
        <f t="shared" si="11"/>
        <v>10726.121881009711</v>
      </c>
      <c r="Y226" s="11"/>
      <c r="Z226" s="8"/>
      <c r="AA226" s="9"/>
      <c r="AB226" s="10"/>
    </row>
    <row r="227" spans="1:28" x14ac:dyDescent="0.25">
      <c r="A227" s="54">
        <v>31</v>
      </c>
      <c r="B227" s="55">
        <v>0.93063700000000005</v>
      </c>
      <c r="C227" s="55">
        <v>17</v>
      </c>
      <c r="D227" s="55">
        <v>0.89505699999999999</v>
      </c>
      <c r="E227" s="56">
        <v>23</v>
      </c>
      <c r="F227" s="57">
        <v>0.89500199999999996</v>
      </c>
      <c r="G227" s="54">
        <v>31</v>
      </c>
      <c r="H227" s="55">
        <v>0.93608800000000003</v>
      </c>
      <c r="I227" s="55">
        <f t="shared" si="9"/>
        <v>24</v>
      </c>
      <c r="J227" s="55">
        <v>0.91597899999999999</v>
      </c>
      <c r="K227" s="55">
        <f t="shared" si="10"/>
        <v>30</v>
      </c>
      <c r="L227" s="57">
        <v>0.93799999999999994</v>
      </c>
      <c r="M227" s="54">
        <v>31</v>
      </c>
      <c r="N227" s="55">
        <v>0.88594099999999998</v>
      </c>
      <c r="O227" s="56">
        <v>31</v>
      </c>
      <c r="P227" s="55">
        <v>0.88617199999999996</v>
      </c>
      <c r="Q227" s="55">
        <v>29</v>
      </c>
      <c r="R227" s="57">
        <v>0.87800599999999995</v>
      </c>
      <c r="S227" s="14"/>
      <c r="T227" s="14"/>
      <c r="U227" s="14"/>
      <c r="V227" s="8" cm="1">
        <f t="array" ref="V22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226)+1),6),"")</f>
        <v>0.65644899999999995</v>
      </c>
      <c r="W227" s="9">
        <f t="shared" si="11"/>
        <v>10762.305053278364</v>
      </c>
      <c r="Y227" s="11"/>
      <c r="Z227" s="8"/>
      <c r="AA227" s="9"/>
      <c r="AB227" s="10"/>
    </row>
    <row r="228" spans="1:28" x14ac:dyDescent="0.25">
      <c r="A228" s="54">
        <v>30</v>
      </c>
      <c r="B228" s="55">
        <v>0.92627899999999996</v>
      </c>
      <c r="C228" s="55">
        <v>16</v>
      </c>
      <c r="D228" s="55">
        <v>0.89296900000000001</v>
      </c>
      <c r="E228" s="56">
        <v>23</v>
      </c>
      <c r="F228" s="57">
        <v>0.89299200000000001</v>
      </c>
      <c r="G228" s="54">
        <v>30</v>
      </c>
      <c r="H228" s="55">
        <v>0.934029</v>
      </c>
      <c r="I228" s="55">
        <f t="shared" si="9"/>
        <v>23</v>
      </c>
      <c r="J228" s="55">
        <v>0.911914</v>
      </c>
      <c r="K228" s="55">
        <f t="shared" si="10"/>
        <v>29</v>
      </c>
      <c r="L228" s="57">
        <v>0.93529300000000004</v>
      </c>
      <c r="M228" s="54">
        <v>30</v>
      </c>
      <c r="N228" s="55">
        <v>0.88027699999999998</v>
      </c>
      <c r="O228" s="56">
        <v>30</v>
      </c>
      <c r="P228" s="55">
        <v>0.88221499999999997</v>
      </c>
      <c r="Q228" s="55">
        <v>28</v>
      </c>
      <c r="R228" s="57">
        <v>0.87599400000000005</v>
      </c>
      <c r="S228" s="14"/>
      <c r="T228" s="14"/>
      <c r="U228" s="14"/>
      <c r="V228" s="8" cm="1">
        <f t="array" ref="V22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227)+1),6),"")</f>
        <v>0.65846099999999996</v>
      </c>
      <c r="W228" s="9">
        <f t="shared" si="11"/>
        <v>10795.291252917934</v>
      </c>
      <c r="Y228" s="11"/>
      <c r="Z228" s="8"/>
      <c r="AA228" s="9"/>
      <c r="AB228" s="10"/>
    </row>
    <row r="229" spans="1:28" x14ac:dyDescent="0.25">
      <c r="A229" s="54">
        <v>29</v>
      </c>
      <c r="B229" s="55">
        <v>0.92098000000000002</v>
      </c>
      <c r="C229" s="55">
        <v>15</v>
      </c>
      <c r="D229" s="55">
        <v>0.88458199999999998</v>
      </c>
      <c r="E229" s="56">
        <v>21</v>
      </c>
      <c r="F229" s="57">
        <v>0.890266</v>
      </c>
      <c r="G229" s="54">
        <v>29</v>
      </c>
      <c r="H229" s="55">
        <v>0.93200000000000005</v>
      </c>
      <c r="I229" s="55">
        <f t="shared" si="9"/>
        <v>22</v>
      </c>
      <c r="J229" s="55">
        <v>0.90969699999999998</v>
      </c>
      <c r="K229" s="55">
        <f t="shared" si="10"/>
        <v>28</v>
      </c>
      <c r="L229" s="57">
        <v>0.93270500000000001</v>
      </c>
      <c r="M229" s="54">
        <v>29</v>
      </c>
      <c r="N229" s="55">
        <v>0.87801600000000002</v>
      </c>
      <c r="O229" s="56">
        <v>29</v>
      </c>
      <c r="P229" s="55">
        <v>0.87807999999999997</v>
      </c>
      <c r="Q229" s="55">
        <v>27</v>
      </c>
      <c r="R229" s="57">
        <v>0.87400800000000001</v>
      </c>
      <c r="S229" s="14"/>
      <c r="T229" s="14"/>
      <c r="U229" s="14"/>
      <c r="V229" s="8" cm="1">
        <f t="array" ref="V22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228)+1),6),"")</f>
        <v>0.66044700000000001</v>
      </c>
      <c r="W229" s="9">
        <f t="shared" si="11"/>
        <v>10827.851189540293</v>
      </c>
      <c r="Y229" s="11"/>
      <c r="Z229" s="8"/>
      <c r="AA229" s="9"/>
      <c r="AB229" s="10"/>
    </row>
    <row r="230" spans="1:28" x14ac:dyDescent="0.25">
      <c r="A230" s="54">
        <v>28</v>
      </c>
      <c r="B230" s="55">
        <v>0.91897300000000004</v>
      </c>
      <c r="C230" s="55">
        <v>14</v>
      </c>
      <c r="D230" s="55">
        <v>0.88101600000000002</v>
      </c>
      <c r="E230" s="56">
        <v>20</v>
      </c>
      <c r="F230" s="57">
        <v>0.89096900000000001</v>
      </c>
      <c r="G230" s="54">
        <v>28</v>
      </c>
      <c r="H230" s="55">
        <v>0.92957599999999996</v>
      </c>
      <c r="I230" s="55">
        <f t="shared" si="9"/>
        <v>21</v>
      </c>
      <c r="J230" s="55">
        <v>0.90597700000000003</v>
      </c>
      <c r="K230" s="55">
        <f t="shared" si="10"/>
        <v>27</v>
      </c>
      <c r="L230" s="57">
        <v>0.93010499999999996</v>
      </c>
      <c r="M230" s="54">
        <v>28</v>
      </c>
      <c r="N230" s="55">
        <v>0.876</v>
      </c>
      <c r="O230" s="56">
        <v>28</v>
      </c>
      <c r="P230" s="55">
        <v>0.87600999999999996</v>
      </c>
      <c r="Q230" s="55">
        <v>26</v>
      </c>
      <c r="R230" s="57">
        <v>0.86999800000000005</v>
      </c>
      <c r="S230" s="14"/>
      <c r="T230" s="14"/>
      <c r="U230" s="14"/>
      <c r="V230" s="8" cm="1">
        <f t="array" ref="V23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229)+1),6),"")</f>
        <v>0.66445699999999996</v>
      </c>
      <c r="W230" s="9">
        <f t="shared" si="11"/>
        <v>10893.594062579397</v>
      </c>
      <c r="Y230" s="11"/>
      <c r="Z230" s="8"/>
      <c r="AA230" s="9"/>
      <c r="AB230" s="10"/>
    </row>
    <row r="231" spans="1:28" x14ac:dyDescent="0.25">
      <c r="A231" s="54">
        <v>27</v>
      </c>
      <c r="B231" s="55">
        <v>0.91692399999999996</v>
      </c>
      <c r="C231" s="55">
        <v>13</v>
      </c>
      <c r="D231" s="55">
        <v>0.87936099999999995</v>
      </c>
      <c r="E231" s="56">
        <v>19</v>
      </c>
      <c r="F231" s="57">
        <v>0.88505699999999998</v>
      </c>
      <c r="G231" s="54">
        <v>27</v>
      </c>
      <c r="H231" s="55">
        <v>0.92266199999999998</v>
      </c>
      <c r="I231" s="55">
        <f t="shared" si="9"/>
        <v>20</v>
      </c>
      <c r="J231" s="55">
        <v>0.90387499999999998</v>
      </c>
      <c r="K231" s="55">
        <f t="shared" si="10"/>
        <v>26</v>
      </c>
      <c r="L231" s="57">
        <v>0.92403100000000005</v>
      </c>
      <c r="M231" s="54">
        <v>27</v>
      </c>
      <c r="N231" s="55">
        <v>0.87225799999999998</v>
      </c>
      <c r="O231" s="56">
        <v>27</v>
      </c>
      <c r="P231" s="55">
        <v>0.87404899999999996</v>
      </c>
      <c r="Q231" s="55">
        <v>25</v>
      </c>
      <c r="R231" s="57">
        <v>0.86749799999999999</v>
      </c>
      <c r="S231" s="14"/>
      <c r="T231" s="14"/>
      <c r="U231" s="14"/>
      <c r="V231" s="8" cm="1">
        <f t="array" ref="V23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230)+1),6),"")</f>
        <v>0.66695700000000002</v>
      </c>
      <c r="W231" s="9">
        <f t="shared" si="11"/>
        <v>10934.580891157391</v>
      </c>
      <c r="Y231" s="11"/>
      <c r="Z231" s="8"/>
      <c r="AA231" s="9"/>
      <c r="AB231" s="10"/>
    </row>
    <row r="232" spans="1:28" x14ac:dyDescent="0.25">
      <c r="A232" s="54">
        <v>26</v>
      </c>
      <c r="B232" s="55">
        <v>0.91492600000000002</v>
      </c>
      <c r="C232" s="55">
        <v>12</v>
      </c>
      <c r="D232" s="55">
        <v>0.87499199999999999</v>
      </c>
      <c r="E232" s="56">
        <v>19</v>
      </c>
      <c r="F232" s="57">
        <v>0.88300000000000001</v>
      </c>
      <c r="G232" s="54">
        <v>26</v>
      </c>
      <c r="H232" s="55">
        <v>0.92051000000000005</v>
      </c>
      <c r="I232" s="55">
        <f t="shared" si="9"/>
        <v>19</v>
      </c>
      <c r="J232" s="55">
        <v>0.89798599999999995</v>
      </c>
      <c r="K232" s="55">
        <f t="shared" si="10"/>
        <v>25</v>
      </c>
      <c r="L232" s="57">
        <v>0.92161499999999996</v>
      </c>
      <c r="M232" s="54">
        <v>26</v>
      </c>
      <c r="N232" s="55">
        <v>0.86879300000000004</v>
      </c>
      <c r="O232" s="56">
        <v>26</v>
      </c>
      <c r="P232" s="55">
        <v>0.87</v>
      </c>
      <c r="Q232" s="55">
        <v>24</v>
      </c>
      <c r="R232" s="57">
        <v>0.86367400000000005</v>
      </c>
      <c r="S232" s="14"/>
      <c r="T232" s="14"/>
      <c r="U232" s="14"/>
      <c r="V232" s="8" cm="1">
        <f t="array" ref="V23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231)+1),6),"")</f>
        <v>0.67078099999999996</v>
      </c>
      <c r="W232" s="9">
        <f t="shared" si="11"/>
        <v>10997.274344150292</v>
      </c>
      <c r="Y232" s="11"/>
      <c r="Z232" s="8"/>
      <c r="AA232" s="9"/>
      <c r="AB232" s="10"/>
    </row>
    <row r="233" spans="1:28" x14ac:dyDescent="0.25">
      <c r="A233" s="54">
        <v>25</v>
      </c>
      <c r="B233" s="55">
        <v>0.91098199999999996</v>
      </c>
      <c r="C233" s="55">
        <v>11</v>
      </c>
      <c r="D233" s="55">
        <v>0.87289099999999997</v>
      </c>
      <c r="E233" s="56">
        <v>17</v>
      </c>
      <c r="F233" s="57">
        <v>0.88090599999999997</v>
      </c>
      <c r="G233" s="54">
        <v>25</v>
      </c>
      <c r="H233" s="55">
        <v>0.91799799999999998</v>
      </c>
      <c r="I233" s="55">
        <f t="shared" si="9"/>
        <v>18</v>
      </c>
      <c r="J233" s="55">
        <v>0.89594300000000004</v>
      </c>
      <c r="K233" s="55">
        <f t="shared" si="10"/>
        <v>24</v>
      </c>
      <c r="L233" s="57">
        <v>0.91963899999999998</v>
      </c>
      <c r="M233" s="54">
        <v>25</v>
      </c>
      <c r="N233" s="55">
        <v>0.866012</v>
      </c>
      <c r="O233" s="56">
        <v>25</v>
      </c>
      <c r="P233" s="55">
        <v>0.86784399999999995</v>
      </c>
      <c r="Q233" s="55">
        <v>23</v>
      </c>
      <c r="R233" s="57">
        <v>0.86002500000000004</v>
      </c>
      <c r="S233" s="14"/>
      <c r="T233" s="14"/>
      <c r="U233" s="14"/>
      <c r="V233" s="8" cm="1">
        <f t="array" ref="V23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232)+1),6),"")</f>
        <v>0.67442999999999997</v>
      </c>
      <c r="W233" s="9">
        <f t="shared" si="11"/>
        <v>11057.098719142732</v>
      </c>
      <c r="Y233" s="11"/>
      <c r="Z233" s="8"/>
      <c r="AA233" s="9"/>
      <c r="AB233" s="10"/>
    </row>
    <row r="234" spans="1:28" x14ac:dyDescent="0.25">
      <c r="A234" s="54">
        <v>24</v>
      </c>
      <c r="B234" s="55">
        <v>0.90899600000000003</v>
      </c>
      <c r="C234" s="55">
        <v>10</v>
      </c>
      <c r="D234" s="55">
        <v>0.86868400000000001</v>
      </c>
      <c r="E234" s="56">
        <v>17</v>
      </c>
      <c r="F234" s="57">
        <v>0.875</v>
      </c>
      <c r="G234" s="54">
        <v>24</v>
      </c>
      <c r="H234" s="55">
        <v>0.91598400000000002</v>
      </c>
      <c r="I234" s="55">
        <f t="shared" si="9"/>
        <v>17</v>
      </c>
      <c r="J234" s="55">
        <v>0.89360200000000001</v>
      </c>
      <c r="K234" s="55">
        <f t="shared" si="10"/>
        <v>23</v>
      </c>
      <c r="L234" s="57">
        <v>0.91583999999999999</v>
      </c>
      <c r="M234" s="54">
        <v>24</v>
      </c>
      <c r="N234" s="55">
        <v>0.86247700000000005</v>
      </c>
      <c r="O234" s="56">
        <v>24</v>
      </c>
      <c r="P234" s="55">
        <v>0.86445499999999997</v>
      </c>
      <c r="Q234" s="55">
        <v>22</v>
      </c>
      <c r="R234" s="57">
        <v>0.85796700000000004</v>
      </c>
      <c r="S234" s="14"/>
      <c r="T234" s="14"/>
      <c r="U234" s="14"/>
      <c r="V234" s="8" cm="1">
        <f t="array" ref="V23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233)+1),6),"")</f>
        <v>0.67648799999999998</v>
      </c>
      <c r="W234" s="9">
        <f t="shared" si="11"/>
        <v>11090.839076428138</v>
      </c>
      <c r="Y234" s="11"/>
      <c r="Z234" s="8"/>
      <c r="AA234" s="9"/>
      <c r="AB234" s="10"/>
    </row>
    <row r="235" spans="1:28" x14ac:dyDescent="0.25">
      <c r="A235" s="54">
        <v>23</v>
      </c>
      <c r="B235" s="55">
        <v>0.90523200000000004</v>
      </c>
      <c r="C235" s="55">
        <v>9</v>
      </c>
      <c r="D235" s="55">
        <v>0.86646699999999999</v>
      </c>
      <c r="E235" s="56">
        <v>16</v>
      </c>
      <c r="F235" s="57">
        <v>0.87269699999999994</v>
      </c>
      <c r="G235" s="54">
        <v>23</v>
      </c>
      <c r="H235" s="55">
        <v>0.91199600000000003</v>
      </c>
      <c r="I235" s="55">
        <f t="shared" si="9"/>
        <v>16</v>
      </c>
      <c r="J235" s="55">
        <v>0.89064100000000002</v>
      </c>
      <c r="K235" s="55">
        <f t="shared" si="10"/>
        <v>22</v>
      </c>
      <c r="L235" s="57">
        <v>0.912018</v>
      </c>
      <c r="M235" s="54">
        <v>23</v>
      </c>
      <c r="N235" s="55">
        <v>0.85999199999999998</v>
      </c>
      <c r="O235" s="56">
        <v>23</v>
      </c>
      <c r="P235" s="55">
        <v>0.86004100000000006</v>
      </c>
      <c r="Q235" s="55">
        <v>21</v>
      </c>
      <c r="R235" s="57">
        <v>0.85553100000000004</v>
      </c>
      <c r="S235" s="14"/>
      <c r="T235" s="14"/>
      <c r="U235" s="14"/>
      <c r="V235" s="8" cm="1">
        <f t="array" ref="V23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234)+1),6),"")</f>
        <v>0.67892399999999997</v>
      </c>
      <c r="W235" s="9">
        <f t="shared" si="11"/>
        <v>11130.776642194534</v>
      </c>
      <c r="Y235" s="11"/>
      <c r="Z235" s="8"/>
      <c r="AA235" s="9"/>
      <c r="AB235" s="10"/>
    </row>
    <row r="236" spans="1:28" x14ac:dyDescent="0.25">
      <c r="A236" s="54">
        <v>22</v>
      </c>
      <c r="B236" s="55">
        <v>0.90332999999999997</v>
      </c>
      <c r="C236" s="55">
        <v>8</v>
      </c>
      <c r="D236" s="55">
        <v>0.863012</v>
      </c>
      <c r="E236" s="56">
        <v>15</v>
      </c>
      <c r="F236" s="57">
        <v>0.86918399999999996</v>
      </c>
      <c r="G236" s="54">
        <v>22</v>
      </c>
      <c r="H236" s="55">
        <v>0.90999399999999997</v>
      </c>
      <c r="I236" s="55">
        <f t="shared" si="9"/>
        <v>15</v>
      </c>
      <c r="J236" s="55">
        <v>0.88602899999999996</v>
      </c>
      <c r="K236" s="55">
        <f t="shared" si="10"/>
        <v>21</v>
      </c>
      <c r="L236" s="57">
        <v>0.90998800000000002</v>
      </c>
      <c r="M236" s="54">
        <v>22</v>
      </c>
      <c r="N236" s="55">
        <v>0.85797500000000004</v>
      </c>
      <c r="O236" s="56">
        <v>22</v>
      </c>
      <c r="P236" s="55">
        <v>0.85799800000000004</v>
      </c>
      <c r="Q236" s="55">
        <v>20</v>
      </c>
      <c r="R236" s="57">
        <v>0.85197299999999998</v>
      </c>
      <c r="S236" s="14"/>
      <c r="T236" s="14"/>
      <c r="U236" s="14"/>
      <c r="V236" s="8" cm="1">
        <f t="array" ref="V23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235)+1),6),"")</f>
        <v>0.68248200000000003</v>
      </c>
      <c r="W236" s="9">
        <f t="shared" si="11"/>
        <v>11189.109096626738</v>
      </c>
      <c r="Y236" s="11"/>
      <c r="Z236" s="8"/>
      <c r="AA236" s="9"/>
      <c r="AB236" s="10"/>
    </row>
    <row r="237" spans="1:28" x14ac:dyDescent="0.25">
      <c r="A237" s="54">
        <v>21</v>
      </c>
      <c r="B237" s="55">
        <v>0.89900000000000002</v>
      </c>
      <c r="C237" s="55">
        <v>7</v>
      </c>
      <c r="D237" s="55">
        <v>0.86103700000000005</v>
      </c>
      <c r="E237" s="56">
        <v>14</v>
      </c>
      <c r="F237" s="57">
        <v>0.86509599999999998</v>
      </c>
      <c r="G237" s="54">
        <v>21</v>
      </c>
      <c r="H237" s="55">
        <v>0.90595700000000001</v>
      </c>
      <c r="I237" s="55">
        <f t="shared" si="9"/>
        <v>14</v>
      </c>
      <c r="J237" s="55">
        <v>0.88400000000000001</v>
      </c>
      <c r="K237" s="55">
        <f t="shared" si="10"/>
        <v>20</v>
      </c>
      <c r="L237" s="57">
        <v>0.90600199999999997</v>
      </c>
      <c r="M237" s="54">
        <v>21</v>
      </c>
      <c r="N237" s="55">
        <v>0.85580100000000003</v>
      </c>
      <c r="O237" s="56">
        <v>21</v>
      </c>
      <c r="P237" s="55">
        <v>0.85579899999999998</v>
      </c>
      <c r="Q237" s="55">
        <v>19</v>
      </c>
      <c r="R237" s="57">
        <v>0.85</v>
      </c>
      <c r="S237" s="14"/>
      <c r="T237" s="14"/>
      <c r="U237" s="14"/>
      <c r="V237" s="8" cm="1">
        <f t="array" ref="V23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236)+1),6),"")</f>
        <v>0.68445500000000004</v>
      </c>
      <c r="W237" s="9">
        <f t="shared" si="11"/>
        <v>11221.455901740492</v>
      </c>
      <c r="Y237" s="11"/>
      <c r="Z237" s="8"/>
      <c r="AA237" s="9"/>
      <c r="AB237" s="10"/>
    </row>
    <row r="238" spans="1:28" x14ac:dyDescent="0.25">
      <c r="A238" s="54">
        <v>20</v>
      </c>
      <c r="B238" s="55">
        <v>0.89609799999999995</v>
      </c>
      <c r="C238" s="55">
        <v>6</v>
      </c>
      <c r="D238" s="55">
        <v>0.85701000000000005</v>
      </c>
      <c r="E238" s="56">
        <v>13</v>
      </c>
      <c r="F238" s="57">
        <v>0.86299000000000003</v>
      </c>
      <c r="G238" s="54">
        <v>20</v>
      </c>
      <c r="H238" s="55">
        <v>0.90397700000000003</v>
      </c>
      <c r="I238" s="55">
        <f t="shared" si="9"/>
        <v>13</v>
      </c>
      <c r="J238" s="55">
        <v>0.88197899999999996</v>
      </c>
      <c r="K238" s="55">
        <f t="shared" si="10"/>
        <v>19</v>
      </c>
      <c r="L238" s="57">
        <v>0.90398800000000001</v>
      </c>
      <c r="M238" s="54">
        <v>20</v>
      </c>
      <c r="N238" s="55">
        <v>0.85200399999999998</v>
      </c>
      <c r="O238" s="56">
        <v>20</v>
      </c>
      <c r="P238" s="55">
        <v>0.85201199999999999</v>
      </c>
      <c r="Q238" s="55">
        <v>18</v>
      </c>
      <c r="R238" s="57">
        <v>0.84513899999999997</v>
      </c>
      <c r="S238" s="14"/>
      <c r="T238" s="14"/>
      <c r="U238" s="14"/>
      <c r="V238" s="8" cm="1">
        <f t="array" ref="V23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237)+1),6),"")</f>
        <v>0.68931600000000004</v>
      </c>
      <c r="W238" s="9">
        <f t="shared" si="11"/>
        <v>11301.150691227544</v>
      </c>
      <c r="Y238" s="11"/>
      <c r="Z238" s="8"/>
      <c r="AA238" s="9"/>
      <c r="AB238" s="10"/>
    </row>
    <row r="239" spans="1:28" x14ac:dyDescent="0.25">
      <c r="A239" s="54">
        <v>19</v>
      </c>
      <c r="B239" s="55">
        <v>0.89370700000000003</v>
      </c>
      <c r="C239" s="55">
        <v>5</v>
      </c>
      <c r="D239" s="55">
        <v>0.85513899999999998</v>
      </c>
      <c r="E239" s="56">
        <v>12</v>
      </c>
      <c r="F239" s="57">
        <v>0.86007400000000001</v>
      </c>
      <c r="G239" s="54">
        <v>19</v>
      </c>
      <c r="H239" s="55">
        <v>0.89954900000000004</v>
      </c>
      <c r="I239" s="55">
        <f t="shared" si="9"/>
        <v>12</v>
      </c>
      <c r="J239" s="55">
        <v>0.87946500000000005</v>
      </c>
      <c r="K239" s="55">
        <f t="shared" si="10"/>
        <v>18</v>
      </c>
      <c r="L239" s="57">
        <v>0.89988900000000005</v>
      </c>
      <c r="M239" s="54">
        <v>19</v>
      </c>
      <c r="N239" s="55">
        <v>0.84913300000000003</v>
      </c>
      <c r="O239" s="56">
        <v>19</v>
      </c>
      <c r="P239" s="55">
        <v>0.85000200000000004</v>
      </c>
      <c r="Q239" s="55">
        <v>17</v>
      </c>
      <c r="R239" s="57">
        <v>0.84129900000000002</v>
      </c>
      <c r="S239" s="14"/>
      <c r="T239" s="14"/>
      <c r="U239" s="14"/>
      <c r="V239" s="8" cm="1">
        <f t="array" ref="V23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238)+1),6),"")</f>
        <v>0.69315599999999999</v>
      </c>
      <c r="W239" s="9">
        <f t="shared" si="11"/>
        <v>11364.106459923343</v>
      </c>
      <c r="Y239" s="11"/>
      <c r="Z239" s="8"/>
      <c r="AA239" s="9"/>
      <c r="AB239" s="10"/>
    </row>
    <row r="240" spans="1:28" x14ac:dyDescent="0.25">
      <c r="A240" s="54">
        <v>18</v>
      </c>
      <c r="B240" s="55">
        <v>0.89196699999999995</v>
      </c>
      <c r="C240" s="55">
        <v>4</v>
      </c>
      <c r="D240" s="55">
        <v>0.85011300000000001</v>
      </c>
      <c r="E240" s="56">
        <v>12</v>
      </c>
      <c r="F240" s="57">
        <v>0.85699800000000004</v>
      </c>
      <c r="G240" s="54">
        <v>18</v>
      </c>
      <c r="H240" s="55">
        <v>0.89610699999999999</v>
      </c>
      <c r="I240" s="55">
        <f t="shared" si="9"/>
        <v>11</v>
      </c>
      <c r="J240" s="55">
        <v>0.87404700000000002</v>
      </c>
      <c r="K240" s="55">
        <f t="shared" si="10"/>
        <v>17</v>
      </c>
      <c r="L240" s="57">
        <v>0.89600000000000002</v>
      </c>
      <c r="M240" s="54">
        <v>18</v>
      </c>
      <c r="N240" s="55">
        <v>0.84392999999999996</v>
      </c>
      <c r="O240" s="56">
        <v>18</v>
      </c>
      <c r="P240" s="55">
        <v>0.84587299999999999</v>
      </c>
      <c r="Q240" s="55">
        <v>16</v>
      </c>
      <c r="R240" s="57">
        <v>0.83800200000000002</v>
      </c>
      <c r="S240" s="14"/>
      <c r="T240" s="14"/>
      <c r="U240" s="14"/>
      <c r="V240" s="8" cm="1">
        <f t="array" ref="V24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239)+1),6),"")</f>
        <v>0.69645299999999999</v>
      </c>
      <c r="W240" s="9">
        <f t="shared" si="11"/>
        <v>11418.159889452001</v>
      </c>
      <c r="Y240" s="11"/>
      <c r="Z240" s="8"/>
      <c r="AA240" s="9"/>
      <c r="AB240" s="10"/>
    </row>
    <row r="241" spans="1:28" x14ac:dyDescent="0.25">
      <c r="A241" s="54">
        <v>17</v>
      </c>
      <c r="B241" s="55">
        <v>0.88683000000000001</v>
      </c>
      <c r="C241" s="55">
        <v>3</v>
      </c>
      <c r="D241" s="55">
        <v>0.84653699999999998</v>
      </c>
      <c r="E241" s="56">
        <v>10</v>
      </c>
      <c r="F241" s="57">
        <v>0.85298399999999996</v>
      </c>
      <c r="G241" s="54">
        <v>17</v>
      </c>
      <c r="H241" s="55">
        <v>0.89397899999999997</v>
      </c>
      <c r="I241" s="55">
        <f t="shared" si="9"/>
        <v>10</v>
      </c>
      <c r="J241" s="55">
        <v>0.87195500000000004</v>
      </c>
      <c r="K241" s="55">
        <f t="shared" si="10"/>
        <v>16</v>
      </c>
      <c r="L241" s="57">
        <v>0.89399600000000001</v>
      </c>
      <c r="M241" s="54">
        <v>17</v>
      </c>
      <c r="N241" s="55">
        <v>0.84006400000000003</v>
      </c>
      <c r="O241" s="56">
        <v>17</v>
      </c>
      <c r="P241" s="55">
        <v>0.84119100000000002</v>
      </c>
      <c r="Q241" s="55">
        <v>15</v>
      </c>
      <c r="R241" s="57">
        <v>0.83588099999999999</v>
      </c>
      <c r="S241" s="14"/>
      <c r="T241" s="14"/>
      <c r="U241" s="14"/>
      <c r="V241" s="8" cm="1">
        <f t="array" ref="V24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240)+1),6),"")</f>
        <v>0.69857400000000003</v>
      </c>
      <c r="W241" s="9">
        <f t="shared" si="11"/>
        <v>11452.933114817573</v>
      </c>
      <c r="Y241" s="11"/>
      <c r="Z241" s="8"/>
      <c r="AA241" s="9"/>
      <c r="AB241" s="10"/>
    </row>
    <row r="242" spans="1:28" x14ac:dyDescent="0.25">
      <c r="A242" s="54">
        <v>16</v>
      </c>
      <c r="B242" s="55">
        <v>0.88420299999999996</v>
      </c>
      <c r="C242" s="55">
        <v>2</v>
      </c>
      <c r="D242" s="55">
        <v>0.84296700000000002</v>
      </c>
      <c r="E242" s="56">
        <v>10</v>
      </c>
      <c r="F242" s="57">
        <v>0.84697299999999998</v>
      </c>
      <c r="G242" s="54">
        <v>16</v>
      </c>
      <c r="H242" s="55">
        <v>0.89189499999999999</v>
      </c>
      <c r="I242" s="55">
        <f t="shared" si="9"/>
        <v>9</v>
      </c>
      <c r="J242" s="55">
        <v>0.86798399999999998</v>
      </c>
      <c r="K242" s="55">
        <f t="shared" si="10"/>
        <v>15</v>
      </c>
      <c r="L242" s="57">
        <v>0.88900400000000002</v>
      </c>
      <c r="M242" s="54">
        <v>16</v>
      </c>
      <c r="N242" s="55">
        <v>0.83798600000000001</v>
      </c>
      <c r="O242" s="56">
        <v>16</v>
      </c>
      <c r="P242" s="55">
        <v>0.83799999999999997</v>
      </c>
      <c r="Q242" s="55">
        <v>14</v>
      </c>
      <c r="R242" s="57">
        <v>0.83269300000000002</v>
      </c>
      <c r="S242" s="14"/>
      <c r="T242" s="14"/>
      <c r="U242" s="14"/>
      <c r="V242" s="8" cm="1">
        <f t="array" ref="V24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241)+1),6),"")</f>
        <v>0.701762</v>
      </c>
      <c r="W242" s="9">
        <f t="shared" si="11"/>
        <v>11505.199518620231</v>
      </c>
      <c r="Y242" s="11"/>
      <c r="Z242" s="8"/>
      <c r="AA242" s="9"/>
      <c r="AB242" s="10"/>
    </row>
    <row r="243" spans="1:28" x14ac:dyDescent="0.25">
      <c r="A243" s="54">
        <v>15</v>
      </c>
      <c r="B243" s="55">
        <v>0.88100000000000001</v>
      </c>
      <c r="C243" s="55">
        <v>1</v>
      </c>
      <c r="D243" s="55">
        <v>0.84100200000000003</v>
      </c>
      <c r="E243" s="56">
        <v>8</v>
      </c>
      <c r="F243" s="57">
        <v>0.84301599999999999</v>
      </c>
      <c r="G243" s="54">
        <v>15</v>
      </c>
      <c r="H243" s="55">
        <v>0.88518600000000003</v>
      </c>
      <c r="I243" s="55">
        <f t="shared" si="9"/>
        <v>8</v>
      </c>
      <c r="J243" s="55">
        <v>0.86599000000000004</v>
      </c>
      <c r="K243" s="55">
        <f t="shared" si="10"/>
        <v>14</v>
      </c>
      <c r="L243" s="57">
        <v>0.885494</v>
      </c>
      <c r="M243" s="54">
        <v>15</v>
      </c>
      <c r="N243" s="55">
        <v>0.83564099999999997</v>
      </c>
      <c r="O243" s="56">
        <v>15</v>
      </c>
      <c r="P243" s="55">
        <v>0.83599999999999997</v>
      </c>
      <c r="Q243" s="55">
        <v>13</v>
      </c>
      <c r="R243" s="57">
        <v>0.83042199999999999</v>
      </c>
      <c r="S243" s="14"/>
      <c r="T243" s="14"/>
      <c r="U243" s="14"/>
      <c r="V243" s="8" cm="1">
        <f t="array" ref="V24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242)+1),6),"")</f>
        <v>0.70403300000000002</v>
      </c>
      <c r="W243" s="9">
        <f t="shared" si="11"/>
        <v>11542.431953700481</v>
      </c>
      <c r="Y243" s="11"/>
      <c r="Z243" s="8"/>
      <c r="AA243" s="9"/>
      <c r="AB243" s="10"/>
    </row>
    <row r="244" spans="1:28" x14ac:dyDescent="0.25">
      <c r="A244" s="54">
        <v>14</v>
      </c>
      <c r="B244" s="55">
        <v>0.87900599999999995</v>
      </c>
      <c r="C244" s="55">
        <v>0</v>
      </c>
      <c r="D244" s="55">
        <v>0.83774800000000005</v>
      </c>
      <c r="E244" s="56">
        <v>7</v>
      </c>
      <c r="F244" s="57">
        <v>0.84099800000000002</v>
      </c>
      <c r="G244" s="54">
        <v>14</v>
      </c>
      <c r="H244" s="55">
        <v>0.88308799999999998</v>
      </c>
      <c r="I244" s="55">
        <f t="shared" si="9"/>
        <v>7</v>
      </c>
      <c r="J244" s="55">
        <v>0.86207</v>
      </c>
      <c r="K244" s="55">
        <f t="shared" si="10"/>
        <v>13</v>
      </c>
      <c r="L244" s="57">
        <v>0.88217599999999996</v>
      </c>
      <c r="M244" s="54">
        <v>14</v>
      </c>
      <c r="N244" s="55">
        <v>0.83334200000000003</v>
      </c>
      <c r="O244" s="56">
        <v>14</v>
      </c>
      <c r="P244" s="55">
        <v>0.83394699999999999</v>
      </c>
      <c r="Q244" s="55">
        <v>12</v>
      </c>
      <c r="R244" s="57">
        <v>0.82722899999999999</v>
      </c>
      <c r="S244" s="14"/>
      <c r="T244" s="14"/>
      <c r="U244" s="14"/>
      <c r="V244" s="8" cm="1">
        <f t="array" ref="V24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243)+1),6),"")</f>
        <v>0.70722600000000002</v>
      </c>
      <c r="W244" s="9">
        <f t="shared" si="11"/>
        <v>11594.780331160297</v>
      </c>
      <c r="Y244" s="11"/>
      <c r="Z244" s="8"/>
      <c r="AA244" s="9"/>
      <c r="AB244" s="10"/>
    </row>
    <row r="245" spans="1:28" x14ac:dyDescent="0.25">
      <c r="A245" s="54">
        <v>13</v>
      </c>
      <c r="B245" s="55">
        <v>0.87488500000000002</v>
      </c>
      <c r="C245" s="56">
        <v>5</v>
      </c>
      <c r="D245" s="56">
        <v>0.98049299999999995</v>
      </c>
      <c r="E245" s="56">
        <v>6</v>
      </c>
      <c r="F245" s="57">
        <v>0.83788300000000004</v>
      </c>
      <c r="G245" s="54">
        <v>13</v>
      </c>
      <c r="H245" s="55">
        <v>0.88001399999999996</v>
      </c>
      <c r="I245" s="55">
        <f t="shared" si="9"/>
        <v>6</v>
      </c>
      <c r="J245" s="55">
        <v>0.85964499999999999</v>
      </c>
      <c r="K245" s="55">
        <f t="shared" si="10"/>
        <v>12</v>
      </c>
      <c r="L245" s="57">
        <v>0.88006600000000001</v>
      </c>
      <c r="M245" s="54">
        <v>13</v>
      </c>
      <c r="N245" s="55">
        <v>0.83087699999999998</v>
      </c>
      <c r="O245" s="56">
        <v>13</v>
      </c>
      <c r="P245" s="55">
        <v>0.831426</v>
      </c>
      <c r="Q245" s="55">
        <v>11</v>
      </c>
      <c r="R245" s="57">
        <v>0.82204299999999997</v>
      </c>
      <c r="S245" s="14"/>
      <c r="T245" s="14"/>
      <c r="U245" s="14"/>
      <c r="V245" s="8" cm="1">
        <f t="array" ref="V24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244)+1),6),"")</f>
        <v>0.71241200000000005</v>
      </c>
      <c r="W245" s="9">
        <f t="shared" si="11"/>
        <v>11679.803408362488</v>
      </c>
      <c r="Y245" s="11"/>
      <c r="Z245" s="8"/>
      <c r="AA245" s="9"/>
      <c r="AB245" s="10"/>
    </row>
    <row r="246" spans="1:28" x14ac:dyDescent="0.25">
      <c r="A246" s="54">
        <v>12</v>
      </c>
      <c r="B246" s="55">
        <v>0.87208799999999997</v>
      </c>
      <c r="C246" s="56">
        <v>4</v>
      </c>
      <c r="D246" s="56">
        <v>0.97815300000000005</v>
      </c>
      <c r="E246" s="56">
        <v>5</v>
      </c>
      <c r="F246" s="58">
        <v>0.97815300000000005</v>
      </c>
      <c r="G246" s="54">
        <v>12</v>
      </c>
      <c r="H246" s="55">
        <v>0.87601200000000001</v>
      </c>
      <c r="I246" s="55">
        <f t="shared" si="9"/>
        <v>5</v>
      </c>
      <c r="J246" s="55">
        <v>0.85633400000000004</v>
      </c>
      <c r="K246" s="55">
        <f t="shared" si="10"/>
        <v>11</v>
      </c>
      <c r="L246" s="57">
        <v>0.876</v>
      </c>
      <c r="M246" s="54">
        <v>12</v>
      </c>
      <c r="N246" s="55">
        <v>0.82830700000000002</v>
      </c>
      <c r="O246" s="56">
        <v>12</v>
      </c>
      <c r="P246" s="55">
        <v>0.82873600000000003</v>
      </c>
      <c r="Q246" s="55">
        <v>10</v>
      </c>
      <c r="R246" s="57">
        <v>0.81996100000000005</v>
      </c>
      <c r="S246" s="14"/>
      <c r="T246" s="14"/>
      <c r="U246" s="14"/>
      <c r="V246" s="8" cm="1">
        <f t="array" ref="V24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245)+1),6),"")</f>
        <v>0.71449399999999996</v>
      </c>
      <c r="W246" s="9">
        <f t="shared" si="11"/>
        <v>11713.937239202241</v>
      </c>
      <c r="Y246" s="11"/>
      <c r="Z246" s="8"/>
      <c r="AA246" s="9"/>
      <c r="AB246" s="10"/>
    </row>
    <row r="247" spans="1:28" x14ac:dyDescent="0.25">
      <c r="A247" s="54">
        <v>11</v>
      </c>
      <c r="B247" s="55">
        <v>0.86899800000000005</v>
      </c>
      <c r="C247" s="56">
        <v>3</v>
      </c>
      <c r="D247" s="56">
        <v>0.97508799999999995</v>
      </c>
      <c r="E247" s="56">
        <v>4</v>
      </c>
      <c r="F247" s="58">
        <v>0.97508799999999995</v>
      </c>
      <c r="G247" s="54">
        <v>11</v>
      </c>
      <c r="H247" s="55">
        <v>0.87399800000000005</v>
      </c>
      <c r="I247" s="55">
        <f t="shared" si="9"/>
        <v>4</v>
      </c>
      <c r="J247" s="55">
        <v>0.85239500000000001</v>
      </c>
      <c r="K247" s="55">
        <f t="shared" si="10"/>
        <v>10</v>
      </c>
      <c r="L247" s="57">
        <v>0.87397499999999995</v>
      </c>
      <c r="M247" s="54">
        <v>11</v>
      </c>
      <c r="N247" s="55">
        <v>0.82158600000000004</v>
      </c>
      <c r="O247" s="56">
        <v>11</v>
      </c>
      <c r="P247" s="55">
        <v>0.82210899999999998</v>
      </c>
      <c r="Q247" s="55">
        <v>9</v>
      </c>
      <c r="R247" s="57">
        <v>0.81798199999999999</v>
      </c>
      <c r="S247" s="14"/>
      <c r="T247" s="14"/>
      <c r="U247" s="14"/>
      <c r="V247" s="8" cm="1">
        <f t="array" ref="V24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246)+1),6),"")</f>
        <v>0.71647300000000003</v>
      </c>
      <c r="W247" s="9">
        <f t="shared" si="11"/>
        <v>11746.382412704583</v>
      </c>
      <c r="Y247" s="11"/>
      <c r="Z247" s="8"/>
      <c r="AA247" s="9"/>
      <c r="AB247" s="10"/>
    </row>
    <row r="248" spans="1:28" x14ac:dyDescent="0.25">
      <c r="A248" s="54">
        <v>10</v>
      </c>
      <c r="B248" s="55">
        <v>0.86640200000000001</v>
      </c>
      <c r="C248" s="56">
        <v>2</v>
      </c>
      <c r="D248" s="56">
        <v>0.97260500000000005</v>
      </c>
      <c r="E248" s="56">
        <v>3</v>
      </c>
      <c r="F248" s="58">
        <v>0.97260500000000005</v>
      </c>
      <c r="G248" s="54">
        <v>10</v>
      </c>
      <c r="H248" s="55">
        <v>0.87187300000000001</v>
      </c>
      <c r="I248" s="55">
        <f t="shared" si="9"/>
        <v>3</v>
      </c>
      <c r="J248" s="55">
        <v>0.84791000000000005</v>
      </c>
      <c r="K248" s="55">
        <f t="shared" si="10"/>
        <v>9</v>
      </c>
      <c r="L248" s="57">
        <v>0.87025200000000003</v>
      </c>
      <c r="M248" s="54">
        <v>10</v>
      </c>
      <c r="N248" s="55">
        <v>0.81897500000000001</v>
      </c>
      <c r="O248" s="56">
        <v>10</v>
      </c>
      <c r="P248" s="55">
        <v>0.82</v>
      </c>
      <c r="Q248" s="55">
        <v>8</v>
      </c>
      <c r="R248" s="57">
        <v>0.81402300000000005</v>
      </c>
      <c r="S248" s="14"/>
      <c r="T248" s="14"/>
      <c r="U248" s="14"/>
      <c r="V248" s="8" cm="1">
        <f t="array" ref="V24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247)+1),6),"")</f>
        <v>0.72043199999999996</v>
      </c>
      <c r="W248" s="9">
        <f t="shared" si="11"/>
        <v>11811.289154440694</v>
      </c>
      <c r="Y248" s="11"/>
      <c r="Z248" s="8"/>
      <c r="AA248" s="9"/>
      <c r="AB248" s="10"/>
    </row>
    <row r="249" spans="1:28" x14ac:dyDescent="0.25">
      <c r="A249" s="54">
        <v>9</v>
      </c>
      <c r="B249" s="55">
        <v>0.86301799999999995</v>
      </c>
      <c r="C249" s="56">
        <v>1</v>
      </c>
      <c r="D249" s="56">
        <v>0.96806000000000003</v>
      </c>
      <c r="E249" s="56">
        <v>2</v>
      </c>
      <c r="F249" s="58">
        <v>0.96806000000000003</v>
      </c>
      <c r="G249" s="54">
        <v>9</v>
      </c>
      <c r="H249" s="55">
        <v>0.86743199999999998</v>
      </c>
      <c r="I249" s="55">
        <f t="shared" si="9"/>
        <v>2</v>
      </c>
      <c r="J249" s="55">
        <v>0.84433599999999998</v>
      </c>
      <c r="K249" s="55">
        <f t="shared" si="10"/>
        <v>8</v>
      </c>
      <c r="L249" s="57">
        <v>0.86726999999999999</v>
      </c>
      <c r="M249" s="54">
        <v>9</v>
      </c>
      <c r="N249" s="55">
        <v>0.81661300000000003</v>
      </c>
      <c r="O249" s="56">
        <v>9</v>
      </c>
      <c r="P249" s="55">
        <v>0.81799599999999995</v>
      </c>
      <c r="Q249" s="55">
        <v>7</v>
      </c>
      <c r="R249" s="57">
        <v>0.81168200000000001</v>
      </c>
      <c r="S249" s="14"/>
      <c r="T249" s="14"/>
      <c r="U249" s="14"/>
      <c r="V249" s="8" cm="1">
        <f t="array" ref="V249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248)+1),6),"")</f>
        <v>0.722773</v>
      </c>
      <c r="W249" s="9">
        <f t="shared" si="11"/>
        <v>11849.669220721127</v>
      </c>
      <c r="Y249" s="11"/>
      <c r="Z249" s="8"/>
      <c r="AA249" s="9"/>
      <c r="AB249" s="10"/>
    </row>
    <row r="250" spans="1:28" x14ac:dyDescent="0.25">
      <c r="A250" s="54">
        <v>8</v>
      </c>
      <c r="B250" s="55">
        <v>0.86110399999999998</v>
      </c>
      <c r="C250" s="56">
        <v>0</v>
      </c>
      <c r="D250" s="56">
        <v>0.96582000000000001</v>
      </c>
      <c r="E250" s="56">
        <v>1</v>
      </c>
      <c r="F250" s="58">
        <v>0.96582000000000001</v>
      </c>
      <c r="G250" s="54">
        <v>8</v>
      </c>
      <c r="H250" s="55">
        <v>0.86545700000000003</v>
      </c>
      <c r="I250" s="55">
        <f t="shared" si="9"/>
        <v>1</v>
      </c>
      <c r="J250" s="55">
        <v>0.84205300000000005</v>
      </c>
      <c r="K250" s="55">
        <f t="shared" si="10"/>
        <v>7</v>
      </c>
      <c r="L250" s="57">
        <v>0.86396300000000004</v>
      </c>
      <c r="M250" s="54">
        <v>8</v>
      </c>
      <c r="N250" s="55">
        <v>0.81396900000000005</v>
      </c>
      <c r="O250" s="56">
        <v>8</v>
      </c>
      <c r="P250" s="55">
        <v>0.81448600000000004</v>
      </c>
      <c r="Q250" s="55">
        <v>6</v>
      </c>
      <c r="R250" s="57">
        <v>0.80801999999999996</v>
      </c>
      <c r="S250" s="14"/>
      <c r="T250" s="14"/>
      <c r="U250" s="14"/>
      <c r="V250" s="8" cm="1">
        <f t="array" ref="V250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249)+1),6),"")</f>
        <v>0.72643500000000005</v>
      </c>
      <c r="W250" s="9">
        <f t="shared" si="11"/>
        <v>11909.706727222176</v>
      </c>
      <c r="Y250" s="11"/>
      <c r="Z250" s="8"/>
      <c r="AA250" s="9"/>
      <c r="AB250" s="10"/>
    </row>
    <row r="251" spans="1:28" x14ac:dyDescent="0.25">
      <c r="A251" s="54">
        <v>7</v>
      </c>
      <c r="B251" s="55">
        <v>0.85897299999999999</v>
      </c>
      <c r="C251" s="56">
        <v>-1</v>
      </c>
      <c r="D251" s="56">
        <v>0.963611</v>
      </c>
      <c r="E251" s="56">
        <v>1</v>
      </c>
      <c r="F251" s="58">
        <v>0.963611</v>
      </c>
      <c r="G251" s="54">
        <v>7</v>
      </c>
      <c r="H251" s="55">
        <v>0.86201000000000005</v>
      </c>
      <c r="I251" s="55">
        <f t="shared" si="9"/>
        <v>0</v>
      </c>
      <c r="J251" s="55">
        <v>0.84001400000000004</v>
      </c>
      <c r="K251" s="55">
        <f t="shared" si="10"/>
        <v>6</v>
      </c>
      <c r="L251" s="57">
        <v>0.86123400000000006</v>
      </c>
      <c r="M251" s="54">
        <v>7</v>
      </c>
      <c r="N251" s="55">
        <v>0.81126799999999999</v>
      </c>
      <c r="O251" s="56">
        <v>7</v>
      </c>
      <c r="P251" s="55">
        <v>0.81179100000000004</v>
      </c>
      <c r="Q251" s="55">
        <v>5</v>
      </c>
      <c r="R251" s="57">
        <v>0.804068</v>
      </c>
      <c r="S251" s="14"/>
      <c r="T251" s="14"/>
      <c r="U251" s="14"/>
      <c r="V251" s="8" cm="1">
        <f t="array" ref="V251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250)+1),6),"")</f>
        <v>0.73038700000000001</v>
      </c>
      <c r="W251" s="9">
        <f t="shared" si="11"/>
        <v>11974.498705838269</v>
      </c>
      <c r="Y251" s="11"/>
      <c r="Z251" s="8"/>
      <c r="AA251" s="9"/>
      <c r="AB251" s="10"/>
    </row>
    <row r="252" spans="1:28" x14ac:dyDescent="0.25">
      <c r="A252" s="54">
        <v>6</v>
      </c>
      <c r="B252" s="55">
        <v>0.85693600000000003</v>
      </c>
      <c r="C252" s="56">
        <v>-1</v>
      </c>
      <c r="D252" s="56">
        <v>0.961422</v>
      </c>
      <c r="E252" s="56">
        <v>0</v>
      </c>
      <c r="F252" s="58">
        <v>0.961422</v>
      </c>
      <c r="G252" s="54">
        <v>6</v>
      </c>
      <c r="H252" s="55">
        <v>0.859074</v>
      </c>
      <c r="I252" s="55">
        <f t="shared" si="9"/>
        <v>-1</v>
      </c>
      <c r="J252" s="55"/>
      <c r="K252" s="55"/>
      <c r="L252" s="57">
        <v>0.85795500000000002</v>
      </c>
      <c r="M252" s="54">
        <v>6</v>
      </c>
      <c r="N252" s="55">
        <v>0.80828699999999998</v>
      </c>
      <c r="O252" s="56">
        <v>6</v>
      </c>
      <c r="P252" s="55">
        <v>0.80823</v>
      </c>
      <c r="Q252" s="55">
        <v>4</v>
      </c>
      <c r="R252" s="57">
        <v>0.79932000000000003</v>
      </c>
      <c r="S252" s="14"/>
      <c r="T252" s="14"/>
      <c r="U252" s="14"/>
      <c r="V252" s="8" cm="1">
        <f t="array" ref="V252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251)+1),6),"")</f>
        <v>0.73513499999999998</v>
      </c>
      <c r="W252" s="9">
        <f t="shared" si="11"/>
        <v>12052.340890673595</v>
      </c>
      <c r="Y252" s="11"/>
      <c r="Z252" s="8"/>
      <c r="AA252" s="9"/>
      <c r="AB252" s="10"/>
    </row>
    <row r="253" spans="1:28" x14ac:dyDescent="0.25">
      <c r="A253" s="54">
        <v>5</v>
      </c>
      <c r="B253" s="55">
        <v>0.851684</v>
      </c>
      <c r="C253" s="56">
        <v>-2</v>
      </c>
      <c r="D253" s="56">
        <v>0.956874</v>
      </c>
      <c r="E253" s="56">
        <v>-1</v>
      </c>
      <c r="F253" s="58">
        <v>0.956874</v>
      </c>
      <c r="G253" s="54">
        <v>5</v>
      </c>
      <c r="H253" s="55">
        <v>0.85599999999999998</v>
      </c>
      <c r="I253" s="55">
        <f t="shared" si="9"/>
        <v>-2</v>
      </c>
      <c r="J253" s="55"/>
      <c r="K253" s="55"/>
      <c r="L253" s="57">
        <v>0.85517600000000005</v>
      </c>
      <c r="M253" s="54">
        <v>5</v>
      </c>
      <c r="N253" s="55">
        <v>0.80431799999999998</v>
      </c>
      <c r="O253" s="56">
        <v>5</v>
      </c>
      <c r="P253" s="55">
        <v>0.80404500000000001</v>
      </c>
      <c r="Q253" s="55">
        <v>3</v>
      </c>
      <c r="R253" s="57">
        <v>0.79772900000000002</v>
      </c>
      <c r="S253" s="14"/>
      <c r="T253" s="14"/>
      <c r="U253" s="14"/>
      <c r="V253" s="8" cm="1">
        <f t="array" ref="V253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252)+1),6),"")</f>
        <v>0.73672599999999999</v>
      </c>
      <c r="W253" s="9">
        <f t="shared" si="11"/>
        <v>12078.424908380632</v>
      </c>
      <c r="Y253" s="11"/>
      <c r="Z253" s="8"/>
      <c r="AA253" s="9"/>
      <c r="AB253" s="10"/>
    </row>
    <row r="254" spans="1:28" x14ac:dyDescent="0.25">
      <c r="A254" s="54">
        <v>4</v>
      </c>
      <c r="B254" s="55">
        <v>0.84830300000000003</v>
      </c>
      <c r="C254" s="56">
        <v>-3</v>
      </c>
      <c r="D254" s="56">
        <v>0.95465999999999995</v>
      </c>
      <c r="E254" s="56">
        <v>-2</v>
      </c>
      <c r="F254" s="58">
        <v>0.95465999999999995</v>
      </c>
      <c r="G254" s="54">
        <v>4</v>
      </c>
      <c r="H254" s="55">
        <v>0.85199999999999998</v>
      </c>
      <c r="I254" s="55">
        <f t="shared" si="9"/>
        <v>-3</v>
      </c>
      <c r="J254" s="55"/>
      <c r="K254" s="55"/>
      <c r="L254" s="57">
        <v>0.84877000000000002</v>
      </c>
      <c r="M254" s="54">
        <v>4</v>
      </c>
      <c r="N254" s="55">
        <v>0.801709</v>
      </c>
      <c r="O254" s="56">
        <v>4</v>
      </c>
      <c r="P254" s="55">
        <v>0.80091800000000002</v>
      </c>
      <c r="Q254" s="55">
        <v>2</v>
      </c>
      <c r="R254" s="57">
        <v>0.79405499999999996</v>
      </c>
      <c r="S254" s="14"/>
      <c r="T254" s="14"/>
      <c r="U254" s="14"/>
      <c r="V254" s="8" cm="1">
        <f t="array" ref="V254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253)+1),6),"")</f>
        <v>0.74039999999999995</v>
      </c>
      <c r="W254" s="9">
        <f t="shared" si="11"/>
        <v>12138.659151658851</v>
      </c>
      <c r="Y254" s="11"/>
      <c r="Z254" s="8"/>
      <c r="AA254" s="9"/>
      <c r="AB254" s="10"/>
    </row>
    <row r="255" spans="1:28" x14ac:dyDescent="0.25">
      <c r="A255" s="54">
        <v>3</v>
      </c>
      <c r="B255" s="55">
        <v>0.84499199999999997</v>
      </c>
      <c r="C255" s="56">
        <v>-4</v>
      </c>
      <c r="D255" s="56">
        <v>0.95135800000000004</v>
      </c>
      <c r="E255" s="56">
        <v>-3</v>
      </c>
      <c r="F255" s="58">
        <v>0.95135800000000004</v>
      </c>
      <c r="G255" s="54">
        <v>3</v>
      </c>
      <c r="H255" s="55">
        <v>0.84800200000000003</v>
      </c>
      <c r="I255" s="55">
        <f t="shared" si="9"/>
        <v>-4</v>
      </c>
      <c r="J255" s="55"/>
      <c r="K255" s="55"/>
      <c r="L255" s="57">
        <v>0.84576799999999996</v>
      </c>
      <c r="M255" s="54">
        <v>3</v>
      </c>
      <c r="N255" s="55">
        <v>0.79603299999999999</v>
      </c>
      <c r="O255" s="56">
        <v>3</v>
      </c>
      <c r="P255" s="55">
        <v>0.79693199999999997</v>
      </c>
      <c r="Q255" s="55">
        <v>1</v>
      </c>
      <c r="R255" s="57">
        <v>0.79200400000000004</v>
      </c>
      <c r="S255" s="14"/>
      <c r="T255" s="14"/>
      <c r="U255" s="14"/>
      <c r="V255" s="8" cm="1">
        <f t="array" ref="V255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254)+1),6),"")</f>
        <v>0.74245099999999997</v>
      </c>
      <c r="W255" s="9">
        <f t="shared" si="11"/>
        <v>12172.284745824238</v>
      </c>
      <c r="Y255" s="11"/>
      <c r="Z255" s="8"/>
      <c r="AA255" s="9"/>
      <c r="AB255" s="10"/>
    </row>
    <row r="256" spans="1:28" x14ac:dyDescent="0.25">
      <c r="A256" s="54">
        <v>2</v>
      </c>
      <c r="B256" s="55">
        <v>0.84297699999999998</v>
      </c>
      <c r="C256" s="56">
        <v>-4</v>
      </c>
      <c r="D256" s="56">
        <v>0.94923599999999997</v>
      </c>
      <c r="E256" s="56">
        <v>-4</v>
      </c>
      <c r="F256" s="58">
        <v>0.94923599999999997</v>
      </c>
      <c r="G256" s="54">
        <v>2</v>
      </c>
      <c r="H256" s="55">
        <v>0.84523599999999999</v>
      </c>
      <c r="I256" s="55">
        <f t="shared" si="9"/>
        <v>-5</v>
      </c>
      <c r="J256" s="55"/>
      <c r="K256" s="55"/>
      <c r="L256" s="57">
        <v>0.84268600000000005</v>
      </c>
      <c r="M256" s="54">
        <v>2</v>
      </c>
      <c r="N256" s="55">
        <v>0.79400000000000004</v>
      </c>
      <c r="O256" s="56">
        <v>2</v>
      </c>
      <c r="P256" s="55">
        <v>0.79406600000000005</v>
      </c>
      <c r="Q256" s="55">
        <v>0</v>
      </c>
      <c r="R256" s="57">
        <v>0.78958600000000001</v>
      </c>
      <c r="S256" s="14"/>
      <c r="T256" s="14"/>
      <c r="U256" s="14"/>
      <c r="V256" s="8" cm="1">
        <f t="array" ref="V256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255)+1),6),"")</f>
        <v>0.744869</v>
      </c>
      <c r="W256" s="9">
        <f t="shared" si="11"/>
        <v>12211.927206424874</v>
      </c>
      <c r="Y256" s="11"/>
      <c r="Z256" s="8"/>
      <c r="AA256" s="9"/>
      <c r="AB256" s="10"/>
    </row>
    <row r="257" spans="1:28" x14ac:dyDescent="0.25">
      <c r="A257" s="54">
        <v>1</v>
      </c>
      <c r="B257" s="55">
        <v>0.83962099999999995</v>
      </c>
      <c r="C257" s="56">
        <v>-6</v>
      </c>
      <c r="D257" s="56">
        <v>0.94441799999999998</v>
      </c>
      <c r="E257" s="56">
        <v>-5</v>
      </c>
      <c r="F257" s="58">
        <v>0.94441799999999998</v>
      </c>
      <c r="G257" s="54">
        <v>1</v>
      </c>
      <c r="H257" s="55">
        <v>0.84202900000000003</v>
      </c>
      <c r="I257" s="55">
        <f t="shared" si="9"/>
        <v>-6</v>
      </c>
      <c r="J257" s="55"/>
      <c r="K257" s="55"/>
      <c r="L257" s="57">
        <v>0.84001199999999998</v>
      </c>
      <c r="M257" s="54">
        <v>1</v>
      </c>
      <c r="N257" s="55">
        <v>0.79200000000000004</v>
      </c>
      <c r="O257" s="56">
        <v>1</v>
      </c>
      <c r="P257" s="55">
        <v>0.79200000000000004</v>
      </c>
      <c r="Q257" s="55"/>
      <c r="R257" s="57"/>
      <c r="S257" s="14"/>
      <c r="T257" s="14"/>
      <c r="U257" s="14"/>
      <c r="V257" s="8" cm="1">
        <f t="array" ref="V257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256)+1),6),"")</f>
        <v>1.5344549999999999</v>
      </c>
      <c r="W257" s="9">
        <f t="shared" si="11"/>
        <v>25156.977618258621</v>
      </c>
      <c r="Y257" s="11"/>
      <c r="Z257" s="8"/>
      <c r="AA257" s="9"/>
      <c r="AB257" s="10"/>
    </row>
    <row r="258" spans="1:28" ht="13" thickBot="1" x14ac:dyDescent="0.3">
      <c r="A258" s="59">
        <v>0</v>
      </c>
      <c r="B258" s="60">
        <v>0.83791199999999999</v>
      </c>
      <c r="C258" s="61">
        <v>-6</v>
      </c>
      <c r="D258" s="61">
        <v>0.94209200000000004</v>
      </c>
      <c r="E258" s="61">
        <v>-6</v>
      </c>
      <c r="F258" s="62">
        <v>0.94209200000000004</v>
      </c>
      <c r="G258" s="59">
        <v>0</v>
      </c>
      <c r="H258" s="60">
        <v>0.84000399999999997</v>
      </c>
      <c r="I258" s="60">
        <f t="shared" si="9"/>
        <v>-7</v>
      </c>
      <c r="J258" s="60"/>
      <c r="K258" s="60"/>
      <c r="L258" s="63"/>
      <c r="M258" s="59">
        <v>0</v>
      </c>
      <c r="N258" s="60">
        <v>0.78981400000000002</v>
      </c>
      <c r="O258" s="61">
        <v>0</v>
      </c>
      <c r="P258" s="60">
        <v>0.78954899999999995</v>
      </c>
      <c r="Q258" s="60"/>
      <c r="R258" s="63"/>
      <c r="S258" s="14"/>
      <c r="T258" s="14"/>
      <c r="U258" s="14"/>
      <c r="V258" s="8" cm="1">
        <f t="array" ref="V258">IFERROR(ROUND(INDEX(CHOOSE((--$S$2-1)*3+--$T$2+1,$B$3:$B$1048576,$D$3:$D$1048576,$F$3:$F$1048576,$H$3:$H$1048576,$J$3:$J$1048576,$L$3:$L$1048576,$N$3:$N$1048576,$P$3:$P$1048576,$R$3:$R$1048576),1)-INDEX(CHOOSE((--$S$2-1)*3+--$T$2+1,$B$3:$B$1048576,$D$3:$D$1048576,$F$3:$F$1048576,$H$3:$H$1048576,$J$3:$J$1048576,$L$3:$L$1048576,$N$3:$N$1048576,$P$3:$P$1048576,$R$3:$R$1048576),ROWS(V$3:V257)+1),6),"")</f>
        <v>1.5344549999999999</v>
      </c>
      <c r="W258" s="9">
        <f t="shared" si="11"/>
        <v>25156.977618258621</v>
      </c>
      <c r="Y258" s="11"/>
      <c r="Z258" s="8"/>
      <c r="AA258" s="9"/>
      <c r="AB258" s="11"/>
    </row>
  </sheetData>
  <dataValidations count="2">
    <dataValidation type="list" allowBlank="1" showInputMessage="1" showErrorMessage="1" prompt="Choisir le abeast" sqref="S2" xr:uid="{00000000-0002-0000-0000-000000000000}">
      <formula1>"1,2,3"</formula1>
    </dataValidation>
    <dataValidation type="list" allowBlank="1" showInputMessage="1" showErrorMessage="1" prompt="Choisir le Threshold" sqref="T2" xr:uid="{00000000-0002-0000-0000-000001000000}">
      <formula1>"0,1,2"</formula1>
    </dataValidation>
  </dataValidations>
  <pageMargins left="0" right="0" top="0.39370078740157483" bottom="0.39370078740157483" header="0" footer="0"/>
  <pageSetup paperSize="9" orientation="portrait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higueret_adm</dc:creator>
  <cp:lastModifiedBy>higueret_adm</cp:lastModifiedBy>
  <cp:revision>4</cp:revision>
  <dcterms:created xsi:type="dcterms:W3CDTF">2025-04-15T11:50:22Z</dcterms:created>
  <dcterms:modified xsi:type="dcterms:W3CDTF">2025-09-03T13:38:31Z</dcterms:modified>
</cp:coreProperties>
</file>