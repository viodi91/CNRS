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ueret_adm\PycharmProjects\MANIP\"/>
    </mc:Choice>
  </mc:AlternateContent>
  <xr:revisionPtr revIDLastSave="0" documentId="13_ncr:1_{FCAA66D4-CB44-44CD-A56A-01C060F95BF6}" xr6:coauthVersionLast="47" xr6:coauthVersionMax="47" xr10:uidLastSave="{00000000-0000-0000-0000-000000000000}"/>
  <bookViews>
    <workbookView xWindow="-110" yWindow="-110" windowWidth="38620" windowHeight="21100" xr2:uid="{DBA85C1D-3EE0-46D8-A61E-1E1C748950F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 s="1"/>
  <c r="G19" i="1"/>
  <c r="G20" i="1"/>
  <c r="G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G38" i="1" s="1"/>
  <c r="G39" i="1" s="1"/>
  <c r="G40" i="1" s="1"/>
  <c r="G41" i="1" s="1"/>
  <c r="G42" i="1" s="1"/>
  <c r="G43" i="1" s="1"/>
  <c r="H43" i="1" s="1"/>
  <c r="G44" i="1"/>
  <c r="G5" i="1"/>
  <c r="G4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H4" i="1"/>
  <c r="P3" i="1"/>
  <c r="H38" i="1" l="1"/>
  <c r="H42" i="1"/>
  <c r="H41" i="1"/>
  <c r="H44" i="1"/>
  <c r="G45" i="1"/>
  <c r="H37" i="1"/>
  <c r="H39" i="1"/>
  <c r="H40" i="1"/>
  <c r="H45" i="1" l="1"/>
  <c r="G46" i="1"/>
  <c r="H46" i="1" l="1"/>
  <c r="G47" i="1"/>
  <c r="H47" i="1" l="1"/>
  <c r="G48" i="1"/>
  <c r="H48" i="1" l="1"/>
  <c r="G49" i="1"/>
  <c r="G50" i="1" l="1"/>
  <c r="H49" i="1"/>
  <c r="G51" i="1" l="1"/>
  <c r="H50" i="1"/>
  <c r="G52" i="1" l="1"/>
  <c r="H51" i="1"/>
  <c r="G53" i="1" l="1"/>
  <c r="H52" i="1"/>
  <c r="G54" i="1" l="1"/>
  <c r="H53" i="1"/>
  <c r="H54" i="1" l="1"/>
  <c r="G55" i="1"/>
  <c r="H55" i="1" l="1"/>
  <c r="G56" i="1"/>
  <c r="H56" i="1" l="1"/>
  <c r="G57" i="1"/>
  <c r="H57" i="1" l="1"/>
  <c r="G58" i="1"/>
  <c r="H58" i="1" l="1"/>
  <c r="G59" i="1"/>
  <c r="H59" i="1" l="1"/>
  <c r="G60" i="1"/>
  <c r="H60" i="1" l="1"/>
  <c r="G61" i="1"/>
  <c r="H61" i="1" l="1"/>
  <c r="G62" i="1"/>
  <c r="H62" i="1" l="1"/>
  <c r="G63" i="1"/>
  <c r="H63" i="1" l="1"/>
  <c r="G64" i="1"/>
  <c r="H64" i="1" l="1"/>
  <c r="G65" i="1"/>
  <c r="G66" i="1" l="1"/>
  <c r="H65" i="1"/>
  <c r="H66" i="1" l="1"/>
  <c r="G67" i="1"/>
  <c r="H67" i="1" l="1"/>
  <c r="G68" i="1"/>
  <c r="H68" i="1" l="1"/>
  <c r="G69" i="1"/>
  <c r="G70" i="1" l="1"/>
  <c r="H69" i="1"/>
  <c r="G71" i="1" l="1"/>
  <c r="H70" i="1"/>
  <c r="G72" i="1" l="1"/>
  <c r="H71" i="1"/>
  <c r="G73" i="1" l="1"/>
  <c r="H72" i="1"/>
  <c r="G74" i="1" l="1"/>
  <c r="H73" i="1"/>
  <c r="G75" i="1" l="1"/>
  <c r="H74" i="1"/>
  <c r="H75" i="1" l="1"/>
  <c r="G76" i="1"/>
  <c r="H76" i="1" l="1"/>
  <c r="G77" i="1"/>
  <c r="H77" i="1" l="1"/>
  <c r="G78" i="1"/>
  <c r="H78" i="1" l="1"/>
  <c r="G79" i="1"/>
  <c r="H79" i="1" l="1"/>
  <c r="G80" i="1"/>
  <c r="H80" i="1" l="1"/>
  <c r="G81" i="1"/>
  <c r="G82" i="1" l="1"/>
  <c r="H81" i="1"/>
  <c r="G83" i="1" l="1"/>
  <c r="H82" i="1"/>
  <c r="G84" i="1" l="1"/>
  <c r="H83" i="1"/>
  <c r="G85" i="1" l="1"/>
  <c r="H84" i="1"/>
  <c r="H85" i="1" l="1"/>
  <c r="G86" i="1"/>
  <c r="H86" i="1" l="1"/>
  <c r="G87" i="1"/>
  <c r="H87" i="1" l="1"/>
  <c r="G88" i="1"/>
  <c r="H88" i="1" l="1"/>
  <c r="G89" i="1"/>
  <c r="H89" i="1" l="1"/>
  <c r="G90" i="1"/>
  <c r="H90" i="1" l="1"/>
  <c r="G91" i="1"/>
  <c r="G92" i="1" l="1"/>
  <c r="H91" i="1"/>
  <c r="G93" i="1" l="1"/>
  <c r="H92" i="1"/>
  <c r="G94" i="1" l="1"/>
  <c r="H93" i="1"/>
  <c r="G95" i="1" l="1"/>
  <c r="H94" i="1"/>
  <c r="G96" i="1" l="1"/>
  <c r="H95" i="1"/>
  <c r="H96" i="1" l="1"/>
  <c r="G97" i="1"/>
  <c r="G98" i="1" l="1"/>
  <c r="H97" i="1"/>
  <c r="G99" i="1" l="1"/>
  <c r="H98" i="1"/>
  <c r="H99" i="1" l="1"/>
  <c r="G100" i="1"/>
  <c r="H100" i="1" l="1"/>
  <c r="G101" i="1"/>
  <c r="G102" i="1" l="1"/>
  <c r="H101" i="1"/>
  <c r="G103" i="1" l="1"/>
  <c r="H102" i="1"/>
  <c r="G104" i="1" l="1"/>
  <c r="H103" i="1"/>
  <c r="G105" i="1" l="1"/>
  <c r="H104" i="1"/>
  <c r="G106" i="1" l="1"/>
  <c r="H105" i="1"/>
  <c r="G107" i="1" l="1"/>
  <c r="H106" i="1"/>
  <c r="H107" i="1" l="1"/>
  <c r="G108" i="1"/>
  <c r="H108" i="1" l="1"/>
  <c r="G109" i="1"/>
  <c r="H109" i="1" l="1"/>
  <c r="G110" i="1"/>
  <c r="H110" i="1" l="1"/>
  <c r="G111" i="1"/>
  <c r="H111" i="1" l="1"/>
  <c r="G112" i="1"/>
  <c r="H112" i="1" l="1"/>
  <c r="G113" i="1"/>
  <c r="H113" i="1" l="1"/>
  <c r="G114" i="1"/>
  <c r="H114" i="1" l="1"/>
  <c r="G115" i="1"/>
  <c r="H115" i="1" l="1"/>
  <c r="G116" i="1"/>
  <c r="G117" i="1" l="1"/>
  <c r="H116" i="1"/>
  <c r="G118" i="1" l="1"/>
  <c r="H117" i="1"/>
  <c r="G119" i="1" l="1"/>
  <c r="H118" i="1"/>
  <c r="G120" i="1" l="1"/>
  <c r="H119" i="1"/>
  <c r="G121" i="1" l="1"/>
  <c r="H120" i="1"/>
  <c r="G122" i="1" l="1"/>
  <c r="H121" i="1"/>
  <c r="G123" i="1" l="1"/>
  <c r="H122" i="1"/>
  <c r="G124" i="1" l="1"/>
  <c r="H123" i="1"/>
  <c r="H124" i="1" l="1"/>
  <c r="G125" i="1"/>
  <c r="H125" i="1" l="1"/>
  <c r="G126" i="1"/>
  <c r="H126" i="1" l="1"/>
  <c r="G127" i="1"/>
  <c r="H127" i="1" l="1"/>
  <c r="G128" i="1"/>
  <c r="H128" i="1" l="1"/>
  <c r="G129" i="1"/>
  <c r="H129" i="1" l="1"/>
  <c r="G130" i="1"/>
  <c r="H130" i="1" l="1"/>
  <c r="G131" i="1"/>
  <c r="G132" i="1" l="1"/>
  <c r="H131" i="1"/>
  <c r="H132" i="1" l="1"/>
  <c r="G133" i="1"/>
  <c r="G134" i="1" l="1"/>
  <c r="H133" i="1"/>
  <c r="G135" i="1" l="1"/>
  <c r="H134" i="1"/>
  <c r="G136" i="1" l="1"/>
  <c r="H135" i="1"/>
  <c r="G137" i="1" l="1"/>
  <c r="H136" i="1"/>
  <c r="G138" i="1" l="1"/>
  <c r="H137" i="1"/>
  <c r="G139" i="1" l="1"/>
  <c r="H138" i="1"/>
  <c r="G140" i="1" l="1"/>
  <c r="H139" i="1"/>
  <c r="H140" i="1" l="1"/>
  <c r="G141" i="1"/>
  <c r="H141" i="1" l="1"/>
  <c r="G142" i="1"/>
  <c r="H142" i="1" l="1"/>
  <c r="G143" i="1"/>
  <c r="H143" i="1" l="1"/>
  <c r="G144" i="1"/>
  <c r="H144" i="1" l="1"/>
  <c r="G145" i="1"/>
  <c r="H145" i="1" l="1"/>
  <c r="G146" i="1"/>
  <c r="H146" i="1" l="1"/>
  <c r="G147" i="1"/>
  <c r="H147" i="1" l="1"/>
  <c r="G148" i="1"/>
  <c r="H148" i="1" l="1"/>
  <c r="G149" i="1"/>
  <c r="H149" i="1" l="1"/>
  <c r="G150" i="1"/>
  <c r="H150" i="1" l="1"/>
  <c r="G151" i="1"/>
  <c r="H151" i="1" l="1"/>
  <c r="G152" i="1"/>
  <c r="H152" i="1" l="1"/>
  <c r="G153" i="1"/>
  <c r="H153" i="1" l="1"/>
  <c r="G154" i="1"/>
  <c r="H154" i="1" l="1"/>
  <c r="G155" i="1"/>
  <c r="H155" i="1" l="1"/>
  <c r="G156" i="1"/>
  <c r="H156" i="1" l="1"/>
  <c r="G157" i="1"/>
  <c r="H157" i="1" l="1"/>
  <c r="G158" i="1"/>
  <c r="G159" i="1" l="1"/>
  <c r="H158" i="1"/>
  <c r="G160" i="1" l="1"/>
  <c r="H159" i="1"/>
  <c r="G161" i="1" l="1"/>
  <c r="H160" i="1"/>
  <c r="G162" i="1" l="1"/>
  <c r="H161" i="1"/>
  <c r="G163" i="1" l="1"/>
  <c r="H162" i="1"/>
  <c r="G164" i="1" l="1"/>
  <c r="H163" i="1"/>
  <c r="G165" i="1" l="1"/>
  <c r="H164" i="1"/>
  <c r="G166" i="1" l="1"/>
  <c r="H165" i="1"/>
  <c r="G167" i="1" l="1"/>
  <c r="H166" i="1"/>
  <c r="G168" i="1" l="1"/>
  <c r="H167" i="1"/>
  <c r="G169" i="1" l="1"/>
  <c r="H168" i="1"/>
  <c r="G170" i="1" l="1"/>
  <c r="H169" i="1"/>
  <c r="G171" i="1" l="1"/>
  <c r="H170" i="1"/>
  <c r="G172" i="1" l="1"/>
  <c r="H171" i="1"/>
  <c r="G173" i="1" l="1"/>
  <c r="H172" i="1"/>
  <c r="G174" i="1" l="1"/>
  <c r="H173" i="1"/>
  <c r="G175" i="1" l="1"/>
  <c r="H174" i="1"/>
  <c r="G176" i="1" l="1"/>
  <c r="H175" i="1"/>
  <c r="H176" i="1" l="1"/>
  <c r="G177" i="1"/>
  <c r="H177" i="1" l="1"/>
  <c r="G178" i="1"/>
  <c r="H178" i="1" l="1"/>
  <c r="G179" i="1"/>
  <c r="G180" i="1" l="1"/>
  <c r="H179" i="1"/>
  <c r="G181" i="1" l="1"/>
  <c r="H180" i="1"/>
  <c r="H181" i="1" l="1"/>
  <c r="G182" i="1"/>
  <c r="H182" i="1" l="1"/>
  <c r="G183" i="1"/>
  <c r="G184" i="1" l="1"/>
  <c r="H183" i="1"/>
  <c r="G185" i="1" l="1"/>
  <c r="H184" i="1"/>
  <c r="H185" i="1" l="1"/>
  <c r="G186" i="1"/>
  <c r="H186" i="1" l="1"/>
  <c r="G187" i="1"/>
  <c r="G188" i="1" l="1"/>
  <c r="H187" i="1"/>
  <c r="G189" i="1" l="1"/>
  <c r="H188" i="1"/>
  <c r="G190" i="1" l="1"/>
  <c r="H189" i="1"/>
  <c r="G191" i="1" l="1"/>
  <c r="H190" i="1"/>
  <c r="H191" i="1" l="1"/>
  <c r="G192" i="1"/>
  <c r="H192" i="1" l="1"/>
  <c r="G193" i="1"/>
  <c r="H193" i="1" l="1"/>
  <c r="G194" i="1"/>
  <c r="H194" i="1" l="1"/>
  <c r="G195" i="1"/>
  <c r="H195" i="1" l="1"/>
  <c r="G196" i="1"/>
  <c r="H196" i="1" l="1"/>
  <c r="G197" i="1"/>
  <c r="G198" i="1" l="1"/>
  <c r="H197" i="1"/>
  <c r="H198" i="1" l="1"/>
  <c r="G199" i="1"/>
  <c r="G200" i="1" l="1"/>
  <c r="H199" i="1"/>
  <c r="G201" i="1" l="1"/>
  <c r="H200" i="1"/>
  <c r="G202" i="1" l="1"/>
  <c r="H201" i="1"/>
  <c r="G203" i="1" l="1"/>
  <c r="H202" i="1"/>
  <c r="G204" i="1" l="1"/>
  <c r="H203" i="1"/>
  <c r="G205" i="1" l="1"/>
  <c r="H204" i="1"/>
  <c r="G206" i="1" l="1"/>
  <c r="H205" i="1"/>
  <c r="G207" i="1" l="1"/>
  <c r="H206" i="1"/>
  <c r="G208" i="1" l="1"/>
  <c r="H207" i="1"/>
  <c r="G209" i="1" l="1"/>
  <c r="H208" i="1"/>
  <c r="G210" i="1" l="1"/>
  <c r="H209" i="1"/>
  <c r="G211" i="1" l="1"/>
  <c r="H210" i="1"/>
  <c r="G212" i="1" l="1"/>
  <c r="H211" i="1"/>
  <c r="G213" i="1" l="1"/>
  <c r="H212" i="1"/>
  <c r="H213" i="1" l="1"/>
  <c r="G214" i="1"/>
  <c r="H214" i="1" l="1"/>
  <c r="G215" i="1"/>
  <c r="H215" i="1" l="1"/>
  <c r="G216" i="1"/>
  <c r="H216" i="1" l="1"/>
  <c r="G217" i="1"/>
  <c r="H217" i="1" l="1"/>
  <c r="G218" i="1"/>
  <c r="H218" i="1" l="1"/>
  <c r="G219" i="1"/>
  <c r="H219" i="1" l="1"/>
  <c r="G220" i="1"/>
  <c r="H220" i="1" l="1"/>
  <c r="G221" i="1"/>
  <c r="H221" i="1" l="1"/>
  <c r="G222" i="1"/>
  <c r="H222" i="1" l="1"/>
  <c r="G223" i="1"/>
  <c r="H223" i="1" l="1"/>
  <c r="G224" i="1"/>
  <c r="H224" i="1" l="1"/>
  <c r="G225" i="1"/>
  <c r="H225" i="1" l="1"/>
  <c r="G226" i="1"/>
  <c r="G227" i="1" l="1"/>
  <c r="H226" i="1"/>
  <c r="G228" i="1" l="1"/>
  <c r="H227" i="1"/>
  <c r="G229" i="1" l="1"/>
  <c r="H228" i="1"/>
  <c r="G230" i="1" l="1"/>
  <c r="H229" i="1"/>
  <c r="G231" i="1" l="1"/>
  <c r="H230" i="1"/>
  <c r="G232" i="1" l="1"/>
  <c r="H231" i="1"/>
  <c r="G233" i="1" l="1"/>
  <c r="H232" i="1"/>
  <c r="G234" i="1" l="1"/>
  <c r="H233" i="1"/>
  <c r="G235" i="1" l="1"/>
  <c r="H234" i="1"/>
  <c r="H235" i="1" l="1"/>
  <c r="G236" i="1"/>
  <c r="H236" i="1" l="1"/>
  <c r="G237" i="1"/>
  <c r="H237" i="1" l="1"/>
  <c r="G238" i="1"/>
  <c r="H238" i="1" l="1"/>
  <c r="G239" i="1"/>
  <c r="H239" i="1" l="1"/>
  <c r="G240" i="1"/>
  <c r="G241" i="1" l="1"/>
  <c r="H240" i="1"/>
  <c r="G242" i="1" l="1"/>
  <c r="H241" i="1"/>
  <c r="G243" i="1" l="1"/>
  <c r="H242" i="1"/>
  <c r="G244" i="1" l="1"/>
  <c r="H243" i="1"/>
  <c r="G245" i="1" l="1"/>
  <c r="H244" i="1"/>
  <c r="G246" i="1" l="1"/>
  <c r="H245" i="1"/>
  <c r="G247" i="1" l="1"/>
  <c r="H246" i="1"/>
  <c r="G248" i="1" l="1"/>
  <c r="H247" i="1"/>
  <c r="G249" i="1" l="1"/>
  <c r="H248" i="1"/>
  <c r="G250" i="1" l="1"/>
  <c r="H249" i="1"/>
  <c r="G251" i="1" l="1"/>
  <c r="H250" i="1"/>
  <c r="G252" i="1" l="1"/>
  <c r="H251" i="1"/>
  <c r="G253" i="1" l="1"/>
  <c r="H252" i="1"/>
  <c r="H253" i="1" l="1"/>
  <c r="G254" i="1"/>
  <c r="H254" i="1" l="1"/>
  <c r="G255" i="1"/>
  <c r="H255" i="1" l="1"/>
  <c r="G256" i="1"/>
  <c r="H256" i="1" l="1"/>
  <c r="G257" i="1"/>
  <c r="H257" i="1" l="1"/>
  <c r="G258" i="1"/>
  <c r="H258" i="1" s="1"/>
</calcChain>
</file>

<file path=xl/sharedStrings.xml><?xml version="1.0" encoding="utf-8"?>
<sst xmlns="http://schemas.openxmlformats.org/spreadsheetml/2006/main" count="36" uniqueCount="18">
  <si>
    <t>TH0</t>
  </si>
  <si>
    <t>V_TH0</t>
  </si>
  <si>
    <t>TH1</t>
  </si>
  <si>
    <t>VTH1</t>
  </si>
  <si>
    <t>TH2</t>
  </si>
  <si>
    <t>VTH2</t>
  </si>
  <si>
    <t>| Vsignal | (V)</t>
  </si>
  <si>
    <t>ADC Value</t>
  </si>
  <si>
    <t>air gap (mm)</t>
  </si>
  <si>
    <t>Energy (eV)</t>
  </si>
  <si>
    <t>interpolated energy (eV)</t>
  </si>
  <si>
    <t>BASELINE</t>
  </si>
  <si>
    <t>Vth_bl = 105</t>
  </si>
  <si>
    <t>Bruit électronique</t>
  </si>
  <si>
    <t xml:space="preserve">~ µ -3.σ </t>
  </si>
  <si>
    <t>&lt;--------------</t>
  </si>
  <si>
    <t>&lt;-------------------------------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</si>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</sst>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0" xfId="0" applyFill="1"/>
    <xf numFmtId="0" fontId="0" fillId="3" borderId="1" xfId="0" applyFill="1" applyBorder="1"/>
    <xf numFmtId="0" fontId="0" fillId="3" borderId="5" xfId="0" applyFill="1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0" xfId="0" applyFill="1"/>
    <xf numFmtId="0" fontId="0" fillId="5" borderId="0" xfId="0" applyFill="1"/>
    <xf numFmtId="0" fontId="0" fillId="3" borderId="6" xfId="0" applyFill="1" applyBorder="1"/>
    <xf numFmtId="0" fontId="0" fillId="6" borderId="0" xfId="0" applyFill="1"/>
    <xf numFmtId="0" fontId="0" fillId="6" borderId="1" xfId="0" applyFill="1" applyBorder="1"/>
    <xf numFmtId="0" fontId="0" fillId="6" borderId="3" xfId="0" applyFill="1" applyBorder="1"/>
    <xf numFmtId="0" fontId="0" fillId="6" borderId="0" xfId="0" applyFill="1" applyAlignment="1">
      <alignment horizontal="center"/>
    </xf>
    <xf numFmtId="0" fontId="1" fillId="7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196850</xdr:colOff>
      <xdr:row>2</xdr:row>
      <xdr:rowOff>88900</xdr:rowOff>
    </xdr:from>
    <xdr:to>
      <xdr:col>30</xdr:col>
      <xdr:colOff>482600</xdr:colOff>
      <xdr:row>39</xdr:row>
      <xdr:rowOff>69850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BDC50B9-4902-4FEF-83D5-0D66FB0A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52550" y="457200"/>
          <a:ext cx="10191750" cy="6794500"/>
        </a:xfrm>
        <a:prstGeom prst="rect">
          <a:avLst/>
        </a:prstGeom>
      </xdr:spPr>
    </xdr:pic>
    <xdr:clientData/>
  </xdr:twoCellAnchor>
  <xdr:twoCellAnchor editAs="oneCell">
    <xdr:from>
      <xdr:col>17</xdr:col>
      <xdr:colOff>362856</xdr:colOff>
      <xdr:row>43</xdr:row>
      <xdr:rowOff>63500</xdr:rowOff>
    </xdr:from>
    <xdr:to>
      <xdr:col>32</xdr:col>
      <xdr:colOff>108857</xdr:colOff>
      <xdr:row>84</xdr:row>
      <xdr:rowOff>45987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CE5C5DF-843A-4996-B648-D5566405E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4927" y="7864929"/>
          <a:ext cx="11176001" cy="7421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20F6-22A6-40FF-8639-1B40917DEAF0}">
  <dimension ref="A1:R258"/>
  <sheetViews>
    <sheetView tabSelected="1" zoomScale="70" zoomScaleNormal="70" workbookViewId="0">
      <selection activeCell="AK49" sqref="AK49"/>
    </sheetView>
  </sheetViews>
  <sheetFormatPr baseColWidth="10" defaultRowHeight="14.5" x14ac:dyDescent="0.35"/>
  <cols>
    <col min="1" max="1" width="11.08984375" customWidth="1"/>
    <col min="7" max="7" width="12.36328125" bestFit="1" customWidth="1"/>
    <col min="8" max="8" width="9.54296875" bestFit="1" customWidth="1"/>
    <col min="11" max="11" width="21.453125" bestFit="1" customWidth="1"/>
    <col min="13" max="13" width="8.81640625" bestFit="1" customWidth="1"/>
    <col min="14" max="14" width="12.36328125" bestFit="1" customWidth="1"/>
    <col min="15" max="15" width="8.81640625" bestFit="1" customWidth="1"/>
    <col min="17" max="17" width="15.7265625" bestFit="1" customWidth="1"/>
  </cols>
  <sheetData>
    <row r="1" spans="1:18" x14ac:dyDescent="0.35">
      <c r="A1" s="23" t="s">
        <v>12</v>
      </c>
      <c r="B1" s="24" t="s">
        <v>15</v>
      </c>
      <c r="C1" s="24" t="s">
        <v>15</v>
      </c>
      <c r="D1" s="24" t="s">
        <v>15</v>
      </c>
      <c r="E1" s="24" t="s">
        <v>15</v>
      </c>
      <c r="F1" s="24" t="s">
        <v>15</v>
      </c>
      <c r="G1" s="24" t="s">
        <v>15</v>
      </c>
      <c r="H1" s="24" t="s">
        <v>15</v>
      </c>
      <c r="I1" s="24" t="s">
        <v>15</v>
      </c>
      <c r="J1" s="24" t="s">
        <v>15</v>
      </c>
      <c r="K1" s="24" t="s">
        <v>16</v>
      </c>
      <c r="L1" s="24" t="s">
        <v>15</v>
      </c>
      <c r="M1" s="24" t="s">
        <v>15</v>
      </c>
      <c r="N1" s="24" t="s">
        <v>15</v>
      </c>
      <c r="O1" s="24" t="s">
        <v>15</v>
      </c>
      <c r="P1" s="24" t="s">
        <v>15</v>
      </c>
      <c r="Q1" s="24" t="s">
        <v>15</v>
      </c>
      <c r="R1" s="24" t="s">
        <v>17</v>
      </c>
    </row>
    <row r="2" spans="1:18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3" t="s">
        <v>9</v>
      </c>
      <c r="K2" s="4" t="s">
        <v>10</v>
      </c>
      <c r="M2" s="2" t="s">
        <v>3</v>
      </c>
      <c r="N2" s="1" t="s">
        <v>6</v>
      </c>
      <c r="O2" s="1" t="s">
        <v>5</v>
      </c>
      <c r="P2" s="1" t="s">
        <v>6</v>
      </c>
    </row>
    <row r="3" spans="1:18" s="17" customFormat="1" x14ac:dyDescent="0.35">
      <c r="A3" s="5">
        <v>255</v>
      </c>
      <c r="B3" s="5">
        <v>1.5630599999999999</v>
      </c>
      <c r="C3" s="5">
        <v>253</v>
      </c>
      <c r="D3" s="5">
        <v>1.5644420000000001</v>
      </c>
      <c r="E3" s="5">
        <v>248</v>
      </c>
      <c r="F3" s="5">
        <v>1.5632189999999999</v>
      </c>
      <c r="G3" s="6">
        <v>0</v>
      </c>
      <c r="H3" s="6">
        <v>0</v>
      </c>
      <c r="I3" s="6"/>
      <c r="J3" s="18"/>
      <c r="K3" s="7"/>
      <c r="L3" s="5"/>
      <c r="M3" s="5">
        <v>1.5644420000000001</v>
      </c>
      <c r="N3" s="5">
        <v>0</v>
      </c>
      <c r="O3" s="5">
        <v>1.5632189999999999</v>
      </c>
      <c r="P3" s="5">
        <f>0</f>
        <v>0</v>
      </c>
      <c r="Q3" s="5" t="s">
        <v>11</v>
      </c>
    </row>
    <row r="4" spans="1:18" x14ac:dyDescent="0.35">
      <c r="A4" s="19">
        <v>254</v>
      </c>
      <c r="B4" s="19">
        <v>1.5601179999999999</v>
      </c>
      <c r="C4" s="19">
        <v>252</v>
      </c>
      <c r="D4" s="19">
        <v>1.5617650000000001</v>
      </c>
      <c r="E4" s="19">
        <v>247</v>
      </c>
      <c r="F4" s="19">
        <v>1.5581119999999999</v>
      </c>
      <c r="G4" s="20">
        <f>B3-B4</f>
        <v>2.9420000000000002E-3</v>
      </c>
      <c r="H4" s="20">
        <f>INT(G4/(6.1*10^(-5)))</f>
        <v>48</v>
      </c>
      <c r="I4" s="21"/>
      <c r="J4" s="20"/>
      <c r="K4" s="20"/>
      <c r="L4" s="19"/>
      <c r="M4" s="19">
        <v>1.5617650000000001</v>
      </c>
      <c r="N4" s="19">
        <f>M3-M4</f>
        <v>2.6770000000000405E-3</v>
      </c>
      <c r="O4" s="19">
        <v>1.5581119999999999</v>
      </c>
      <c r="P4" s="19">
        <f>O3-O4</f>
        <v>5.1069999999999727E-3</v>
      </c>
    </row>
    <row r="5" spans="1:18" x14ac:dyDescent="0.35">
      <c r="A5" s="19">
        <v>253</v>
      </c>
      <c r="B5" s="19">
        <v>1.558684</v>
      </c>
      <c r="C5" s="19">
        <v>251</v>
      </c>
      <c r="D5" s="19">
        <v>1.5586310000000001</v>
      </c>
      <c r="E5" s="19">
        <v>246</v>
      </c>
      <c r="F5" s="19">
        <v>1.5555570000000001</v>
      </c>
      <c r="G5" s="20">
        <f>G4+(B4-B5)</f>
        <v>4.3759999999999355E-3</v>
      </c>
      <c r="H5" s="20">
        <f t="shared" ref="H5:H68" si="0">INT(G5/(6.1*10^(-5)))</f>
        <v>71</v>
      </c>
      <c r="I5" s="21"/>
      <c r="J5" s="20"/>
      <c r="K5" s="20"/>
      <c r="L5" s="19"/>
      <c r="M5" s="19">
        <v>1.5586310000000001</v>
      </c>
      <c r="N5" s="19">
        <f>N4+(M4-M5)</f>
        <v>5.8110000000000106E-3</v>
      </c>
      <c r="O5" s="19">
        <v>1.5555570000000001</v>
      </c>
      <c r="P5" s="19">
        <f>P4+(O4-O5)</f>
        <v>7.6619999999998356E-3</v>
      </c>
    </row>
    <row r="6" spans="1:18" x14ac:dyDescent="0.35">
      <c r="A6" s="19">
        <v>252</v>
      </c>
      <c r="B6" s="19">
        <v>1.55568</v>
      </c>
      <c r="C6" s="19">
        <v>250</v>
      </c>
      <c r="D6" s="19">
        <v>1.5557510000000001</v>
      </c>
      <c r="E6" s="19">
        <v>245</v>
      </c>
      <c r="F6" s="19">
        <v>1.55301</v>
      </c>
      <c r="G6" s="20">
        <f t="shared" ref="G6:G69" si="1">G5+(B5-B6)</f>
        <v>7.3799999999999422E-3</v>
      </c>
      <c r="H6" s="20">
        <f t="shared" si="0"/>
        <v>120</v>
      </c>
      <c r="I6" s="21"/>
      <c r="J6" s="20"/>
      <c r="K6" s="20"/>
      <c r="L6" s="19"/>
      <c r="M6" s="19">
        <v>1.5557510000000001</v>
      </c>
      <c r="N6" s="19">
        <f t="shared" ref="N6:N69" si="2">N5+(M5-M6)</f>
        <v>8.6910000000000043E-3</v>
      </c>
      <c r="O6" s="19">
        <v>1.55301</v>
      </c>
      <c r="P6" s="19">
        <f t="shared" ref="P6:P69" si="3">P5+(O5-O6)</f>
        <v>1.0208999999999913E-2</v>
      </c>
    </row>
    <row r="7" spans="1:18" x14ac:dyDescent="0.35">
      <c r="A7" s="19">
        <v>251</v>
      </c>
      <c r="B7" s="19">
        <v>1.5523910000000001</v>
      </c>
      <c r="C7" s="19">
        <v>249</v>
      </c>
      <c r="D7" s="19">
        <v>1.553463</v>
      </c>
      <c r="E7" s="19">
        <v>244</v>
      </c>
      <c r="F7" s="19">
        <v>1.550338</v>
      </c>
      <c r="G7" s="20">
        <f t="shared" si="1"/>
        <v>1.0668999999999818E-2</v>
      </c>
      <c r="H7" s="20">
        <f t="shared" si="0"/>
        <v>174</v>
      </c>
      <c r="I7" s="21"/>
      <c r="J7" s="20"/>
      <c r="K7" s="20"/>
      <c r="L7" s="19"/>
      <c r="M7" s="19">
        <v>1.553463</v>
      </c>
      <c r="N7" s="19">
        <f t="shared" si="2"/>
        <v>1.0979000000000072E-2</v>
      </c>
      <c r="O7" s="19">
        <v>1.550338</v>
      </c>
      <c r="P7" s="19">
        <f t="shared" si="3"/>
        <v>1.288099999999992E-2</v>
      </c>
    </row>
    <row r="8" spans="1:18" x14ac:dyDescent="0.35">
      <c r="A8" s="19">
        <v>250</v>
      </c>
      <c r="B8" s="19">
        <v>1.549506</v>
      </c>
      <c r="C8" s="19">
        <v>248</v>
      </c>
      <c r="D8" s="19">
        <v>1.5507089999999999</v>
      </c>
      <c r="E8" s="19">
        <v>243</v>
      </c>
      <c r="F8" s="19">
        <v>1.5473809999999999</v>
      </c>
      <c r="G8" s="20">
        <f t="shared" si="1"/>
        <v>1.3553999999999844E-2</v>
      </c>
      <c r="H8" s="20">
        <f t="shared" si="0"/>
        <v>222</v>
      </c>
      <c r="I8" s="21"/>
      <c r="J8" s="20"/>
      <c r="K8" s="20"/>
      <c r="L8" s="19"/>
      <c r="M8" s="19">
        <v>1.5507089999999999</v>
      </c>
      <c r="N8" s="19">
        <f t="shared" si="2"/>
        <v>1.3733000000000217E-2</v>
      </c>
      <c r="O8" s="19">
        <v>1.5473809999999999</v>
      </c>
      <c r="P8" s="19">
        <f t="shared" si="3"/>
        <v>1.5838000000000019E-2</v>
      </c>
      <c r="Q8" s="22" t="s">
        <v>13</v>
      </c>
    </row>
    <row r="9" spans="1:18" x14ac:dyDescent="0.35">
      <c r="A9" s="19">
        <v>249</v>
      </c>
      <c r="B9" s="19">
        <v>1.547598</v>
      </c>
      <c r="C9" s="19">
        <v>247</v>
      </c>
      <c r="D9" s="19">
        <v>1.548848</v>
      </c>
      <c r="E9" s="19">
        <v>242</v>
      </c>
      <c r="F9" s="19">
        <v>1.544832</v>
      </c>
      <c r="G9" s="20">
        <f t="shared" si="1"/>
        <v>1.5461999999999865E-2</v>
      </c>
      <c r="H9" s="20">
        <f t="shared" si="0"/>
        <v>253</v>
      </c>
      <c r="I9" s="21"/>
      <c r="J9" s="20"/>
      <c r="K9" s="20"/>
      <c r="L9" s="19"/>
      <c r="M9" s="19">
        <v>1.548848</v>
      </c>
      <c r="N9" s="19">
        <f t="shared" si="2"/>
        <v>1.5594000000000108E-2</v>
      </c>
      <c r="O9" s="19">
        <v>1.544832</v>
      </c>
      <c r="P9" s="19">
        <f t="shared" si="3"/>
        <v>1.8386999999999931E-2</v>
      </c>
    </row>
    <row r="10" spans="1:18" x14ac:dyDescent="0.35">
      <c r="A10" s="19">
        <v>248</v>
      </c>
      <c r="B10" s="19">
        <v>1.544702</v>
      </c>
      <c r="C10" s="19">
        <v>246</v>
      </c>
      <c r="D10" s="19">
        <v>1.5457609999999999</v>
      </c>
      <c r="E10" s="19">
        <v>241</v>
      </c>
      <c r="F10" s="19">
        <v>1.542238</v>
      </c>
      <c r="G10" s="20">
        <f t="shared" si="1"/>
        <v>1.8357999999999874E-2</v>
      </c>
      <c r="H10" s="20">
        <f t="shared" si="0"/>
        <v>300</v>
      </c>
      <c r="I10" s="21"/>
      <c r="J10" s="20"/>
      <c r="K10" s="20"/>
      <c r="L10" s="19"/>
      <c r="M10" s="19">
        <v>1.5457609999999999</v>
      </c>
      <c r="N10" s="19">
        <f t="shared" si="2"/>
        <v>1.868100000000017E-2</v>
      </c>
      <c r="O10" s="19">
        <v>1.542238</v>
      </c>
      <c r="P10" s="19">
        <f t="shared" si="3"/>
        <v>2.0980999999999916E-2</v>
      </c>
    </row>
    <row r="11" spans="1:18" x14ac:dyDescent="0.35">
      <c r="A11" s="19">
        <v>247</v>
      </c>
      <c r="B11" s="19">
        <v>1.5423180000000001</v>
      </c>
      <c r="C11" s="19">
        <v>245</v>
      </c>
      <c r="D11" s="19">
        <v>1.543733</v>
      </c>
      <c r="E11" s="19">
        <v>240</v>
      </c>
      <c r="F11" s="19">
        <v>1.539577</v>
      </c>
      <c r="G11" s="20">
        <f t="shared" si="1"/>
        <v>2.0741999999999816E-2</v>
      </c>
      <c r="H11" s="20">
        <f t="shared" si="0"/>
        <v>340</v>
      </c>
      <c r="I11" s="21"/>
      <c r="J11" s="20"/>
      <c r="K11" s="20"/>
      <c r="L11" s="19"/>
      <c r="M11" s="19">
        <v>1.543733</v>
      </c>
      <c r="N11" s="19">
        <f t="shared" si="2"/>
        <v>2.0709000000000088E-2</v>
      </c>
      <c r="O11" s="19">
        <v>1.539577</v>
      </c>
      <c r="P11" s="19">
        <f t="shared" si="3"/>
        <v>2.3641999999999941E-2</v>
      </c>
    </row>
    <row r="12" spans="1:18" x14ac:dyDescent="0.35">
      <c r="A12" s="19">
        <v>246</v>
      </c>
      <c r="B12" s="19">
        <v>1.539339</v>
      </c>
      <c r="C12" s="19">
        <v>244</v>
      </c>
      <c r="D12" s="19">
        <v>1.5408360000000001</v>
      </c>
      <c r="E12" s="19">
        <v>239</v>
      </c>
      <c r="F12" s="19">
        <v>1.5355350000000001</v>
      </c>
      <c r="G12" s="20">
        <f t="shared" si="1"/>
        <v>2.3720999999999881E-2</v>
      </c>
      <c r="H12" s="20">
        <f t="shared" si="0"/>
        <v>388</v>
      </c>
      <c r="I12" s="21"/>
      <c r="J12" s="20"/>
      <c r="K12" s="20"/>
      <c r="L12" s="19"/>
      <c r="M12" s="19">
        <v>1.5408360000000001</v>
      </c>
      <c r="N12" s="19">
        <f t="shared" si="2"/>
        <v>2.3606000000000016E-2</v>
      </c>
      <c r="O12" s="19">
        <v>1.5355350000000001</v>
      </c>
      <c r="P12" s="19">
        <f t="shared" si="3"/>
        <v>2.768399999999982E-2</v>
      </c>
    </row>
    <row r="13" spans="1:18" x14ac:dyDescent="0.35">
      <c r="A13" s="19">
        <v>245</v>
      </c>
      <c r="B13" s="19">
        <v>1.5376840000000001</v>
      </c>
      <c r="C13" s="19">
        <v>243</v>
      </c>
      <c r="D13" s="19">
        <v>1.5375380000000001</v>
      </c>
      <c r="E13" s="19">
        <v>238</v>
      </c>
      <c r="F13" s="19">
        <v>1.5330440000000001</v>
      </c>
      <c r="G13" s="20">
        <f t="shared" si="1"/>
        <v>2.5375999999999843E-2</v>
      </c>
      <c r="H13" s="20">
        <f t="shared" si="0"/>
        <v>415</v>
      </c>
      <c r="I13" s="21"/>
      <c r="J13" s="20"/>
      <c r="K13" s="20"/>
      <c r="L13" s="19"/>
      <c r="M13" s="19">
        <v>1.5375380000000001</v>
      </c>
      <c r="N13" s="19">
        <f t="shared" si="2"/>
        <v>2.6904000000000039E-2</v>
      </c>
      <c r="O13" s="19">
        <v>1.5330440000000001</v>
      </c>
      <c r="P13" s="19">
        <f t="shared" si="3"/>
        <v>3.0174999999999841E-2</v>
      </c>
      <c r="Q13" s="19" t="s">
        <v>14</v>
      </c>
    </row>
    <row r="14" spans="1:18" x14ac:dyDescent="0.35">
      <c r="A14">
        <v>244</v>
      </c>
      <c r="B14">
        <v>1.5348219999999999</v>
      </c>
      <c r="C14">
        <v>242</v>
      </c>
      <c r="D14">
        <v>1.53477</v>
      </c>
      <c r="E14">
        <v>237</v>
      </c>
      <c r="F14">
        <v>1.5303169999999999</v>
      </c>
      <c r="G14" s="8">
        <f t="shared" si="1"/>
        <v>2.8237999999999985E-2</v>
      </c>
      <c r="H14" s="8">
        <f t="shared" si="0"/>
        <v>462</v>
      </c>
      <c r="I14" s="9"/>
      <c r="J14" s="8"/>
      <c r="K14" s="8"/>
      <c r="M14">
        <v>1.53477</v>
      </c>
      <c r="N14">
        <f t="shared" si="2"/>
        <v>2.9672000000000143E-2</v>
      </c>
      <c r="O14">
        <v>1.5303169999999999</v>
      </c>
      <c r="P14">
        <f t="shared" si="3"/>
        <v>3.2901999999999987E-2</v>
      </c>
    </row>
    <row r="15" spans="1:18" x14ac:dyDescent="0.35">
      <c r="A15">
        <v>243</v>
      </c>
      <c r="B15">
        <v>1.5315000000000001</v>
      </c>
      <c r="C15">
        <v>241</v>
      </c>
      <c r="D15">
        <v>1.532286</v>
      </c>
      <c r="E15">
        <v>236</v>
      </c>
      <c r="F15">
        <v>1.5278069999999999</v>
      </c>
      <c r="G15" s="8">
        <f t="shared" si="1"/>
        <v>3.155999999999981E-2</v>
      </c>
      <c r="H15" s="8">
        <f t="shared" si="0"/>
        <v>517</v>
      </c>
      <c r="J15" s="8"/>
      <c r="K15" s="8"/>
      <c r="M15">
        <v>1.532286</v>
      </c>
      <c r="N15">
        <f t="shared" si="2"/>
        <v>3.2156000000000073E-2</v>
      </c>
      <c r="O15">
        <v>1.5278069999999999</v>
      </c>
      <c r="P15">
        <f t="shared" si="3"/>
        <v>3.5411999999999999E-2</v>
      </c>
    </row>
    <row r="16" spans="1:18" x14ac:dyDescent="0.35">
      <c r="A16">
        <v>242</v>
      </c>
      <c r="B16">
        <v>1.528497</v>
      </c>
      <c r="C16">
        <v>240</v>
      </c>
      <c r="D16">
        <v>1.52948</v>
      </c>
      <c r="E16">
        <v>235</v>
      </c>
      <c r="F16">
        <v>1.525236</v>
      </c>
      <c r="G16" s="8">
        <f t="shared" si="1"/>
        <v>3.4562999999999899E-2</v>
      </c>
      <c r="H16" s="8">
        <f t="shared" si="0"/>
        <v>566</v>
      </c>
      <c r="I16" s="9">
        <v>40</v>
      </c>
      <c r="J16" s="8">
        <v>165470.32999999999</v>
      </c>
      <c r="K16" s="8">
        <v>165470.32999999999</v>
      </c>
      <c r="M16">
        <v>1.52948</v>
      </c>
      <c r="N16">
        <f t="shared" si="2"/>
        <v>3.496200000000016E-2</v>
      </c>
      <c r="O16">
        <v>1.525236</v>
      </c>
      <c r="P16">
        <f t="shared" si="3"/>
        <v>3.7982999999999878E-2</v>
      </c>
    </row>
    <row r="17" spans="1:16" x14ac:dyDescent="0.35">
      <c r="A17">
        <v>241</v>
      </c>
      <c r="B17">
        <v>1.5266550000000001</v>
      </c>
      <c r="C17">
        <v>239</v>
      </c>
      <c r="D17">
        <v>1.525649</v>
      </c>
      <c r="E17">
        <v>234</v>
      </c>
      <c r="F17">
        <v>1.5225379999999999</v>
      </c>
      <c r="G17" s="8">
        <f t="shared" si="1"/>
        <v>3.6404999999999799E-2</v>
      </c>
      <c r="H17" s="8">
        <f t="shared" si="0"/>
        <v>596</v>
      </c>
      <c r="I17" s="9"/>
      <c r="J17" s="8"/>
      <c r="K17" s="8"/>
      <c r="M17">
        <v>1.525649</v>
      </c>
      <c r="N17">
        <f t="shared" si="2"/>
        <v>3.8793000000000077E-2</v>
      </c>
      <c r="O17">
        <v>1.5225379999999999</v>
      </c>
      <c r="P17">
        <f t="shared" si="3"/>
        <v>4.0680999999999967E-2</v>
      </c>
    </row>
    <row r="18" spans="1:16" x14ac:dyDescent="0.35">
      <c r="A18">
        <v>240</v>
      </c>
      <c r="B18">
        <v>1.5238449999999999</v>
      </c>
      <c r="C18">
        <v>238</v>
      </c>
      <c r="D18">
        <v>1.5227360000000001</v>
      </c>
      <c r="E18">
        <v>233</v>
      </c>
      <c r="F18">
        <v>1.5199499999999999</v>
      </c>
      <c r="G18" s="8">
        <f t="shared" si="1"/>
        <v>3.9215E-2</v>
      </c>
      <c r="H18" s="8">
        <f t="shared" si="0"/>
        <v>642</v>
      </c>
      <c r="I18" s="9"/>
      <c r="J18" s="8"/>
      <c r="K18" s="8"/>
      <c r="M18">
        <v>1.5227360000000001</v>
      </c>
      <c r="N18">
        <f t="shared" si="2"/>
        <v>4.1706000000000021E-2</v>
      </c>
      <c r="O18">
        <v>1.5199499999999999</v>
      </c>
      <c r="P18">
        <f t="shared" si="3"/>
        <v>4.3269000000000002E-2</v>
      </c>
    </row>
    <row r="19" spans="1:16" x14ac:dyDescent="0.35">
      <c r="A19">
        <v>239</v>
      </c>
      <c r="B19">
        <v>1.519245</v>
      </c>
      <c r="C19">
        <v>237</v>
      </c>
      <c r="D19">
        <v>1.520535</v>
      </c>
      <c r="E19">
        <v>232</v>
      </c>
      <c r="F19">
        <v>1.517304</v>
      </c>
      <c r="G19" s="8">
        <f t="shared" si="1"/>
        <v>4.3814999999999937E-2</v>
      </c>
      <c r="H19" s="8">
        <f t="shared" si="0"/>
        <v>718</v>
      </c>
      <c r="I19" s="9"/>
      <c r="J19" s="8"/>
      <c r="K19" s="8"/>
      <c r="M19">
        <v>1.520535</v>
      </c>
      <c r="N19">
        <f t="shared" si="2"/>
        <v>4.390700000000014E-2</v>
      </c>
      <c r="O19">
        <v>1.517304</v>
      </c>
      <c r="P19">
        <f t="shared" si="3"/>
        <v>4.5914999999999928E-2</v>
      </c>
    </row>
    <row r="20" spans="1:16" x14ac:dyDescent="0.35">
      <c r="A20">
        <v>238</v>
      </c>
      <c r="B20">
        <v>1.5163979999999999</v>
      </c>
      <c r="C20">
        <v>236</v>
      </c>
      <c r="D20">
        <v>1.517736</v>
      </c>
      <c r="E20">
        <v>231</v>
      </c>
      <c r="F20">
        <v>1.512235</v>
      </c>
      <c r="G20" s="8">
        <f t="shared" si="1"/>
        <v>4.6661999999999981E-2</v>
      </c>
      <c r="H20" s="8">
        <f t="shared" si="0"/>
        <v>764</v>
      </c>
      <c r="I20" s="9">
        <v>39.5</v>
      </c>
      <c r="J20" s="8">
        <v>240852.68</v>
      </c>
      <c r="K20" s="8">
        <v>240852.68000000002</v>
      </c>
      <c r="M20">
        <v>1.517736</v>
      </c>
      <c r="N20">
        <f t="shared" si="2"/>
        <v>4.6706000000000136E-2</v>
      </c>
      <c r="O20">
        <v>1.512235</v>
      </c>
      <c r="P20">
        <f t="shared" si="3"/>
        <v>5.0983999999999918E-2</v>
      </c>
    </row>
    <row r="21" spans="1:16" x14ac:dyDescent="0.35">
      <c r="A21">
        <v>237</v>
      </c>
      <c r="B21">
        <v>1.514632</v>
      </c>
      <c r="C21">
        <v>235</v>
      </c>
      <c r="D21">
        <v>1.5144629999999999</v>
      </c>
      <c r="E21">
        <v>230</v>
      </c>
      <c r="F21">
        <v>1.5094700000000001</v>
      </c>
      <c r="G21" s="8">
        <f t="shared" si="1"/>
        <v>4.8427999999999916E-2</v>
      </c>
      <c r="H21" s="8">
        <f t="shared" si="0"/>
        <v>793</v>
      </c>
      <c r="I21" s="9"/>
      <c r="J21" s="8"/>
      <c r="K21" s="8"/>
      <c r="M21">
        <v>1.5144629999999999</v>
      </c>
      <c r="N21">
        <f t="shared" si="2"/>
        <v>4.9979000000000218E-2</v>
      </c>
      <c r="O21">
        <v>1.5094700000000001</v>
      </c>
      <c r="P21">
        <f t="shared" si="3"/>
        <v>5.3748999999999825E-2</v>
      </c>
    </row>
    <row r="22" spans="1:16" x14ac:dyDescent="0.35">
      <c r="A22">
        <v>236</v>
      </c>
      <c r="B22">
        <v>1.5117050000000001</v>
      </c>
      <c r="C22">
        <v>234</v>
      </c>
      <c r="D22">
        <v>1.5116769999999999</v>
      </c>
      <c r="E22">
        <v>229</v>
      </c>
      <c r="F22">
        <v>1.5068919999999999</v>
      </c>
      <c r="G22" s="8">
        <f t="shared" si="1"/>
        <v>5.1354999999999817E-2</v>
      </c>
      <c r="H22" s="8">
        <f t="shared" si="0"/>
        <v>841</v>
      </c>
      <c r="I22" s="9"/>
      <c r="J22" s="8"/>
      <c r="K22" s="8"/>
      <c r="M22">
        <v>1.5116769999999999</v>
      </c>
      <c r="N22">
        <f t="shared" si="2"/>
        <v>5.2765000000000173E-2</v>
      </c>
      <c r="O22">
        <v>1.5068919999999999</v>
      </c>
      <c r="P22">
        <f t="shared" si="3"/>
        <v>5.6327000000000016E-2</v>
      </c>
    </row>
    <row r="23" spans="1:16" x14ac:dyDescent="0.35">
      <c r="A23">
        <v>235</v>
      </c>
      <c r="B23">
        <v>1.508178</v>
      </c>
      <c r="C23">
        <v>233</v>
      </c>
      <c r="D23">
        <v>1.5093399999999999</v>
      </c>
      <c r="E23">
        <v>228</v>
      </c>
      <c r="F23">
        <v>1.504227</v>
      </c>
      <c r="G23" s="8">
        <f t="shared" si="1"/>
        <v>5.4881999999999875E-2</v>
      </c>
      <c r="H23" s="8">
        <f t="shared" si="0"/>
        <v>899</v>
      </c>
      <c r="I23" s="9"/>
      <c r="J23" s="8"/>
      <c r="K23" s="8"/>
      <c r="M23">
        <v>1.5093399999999999</v>
      </c>
      <c r="N23">
        <f t="shared" si="2"/>
        <v>5.5102000000000206E-2</v>
      </c>
      <c r="O23">
        <v>1.504227</v>
      </c>
      <c r="P23">
        <f t="shared" si="3"/>
        <v>5.8991999999999933E-2</v>
      </c>
    </row>
    <row r="24" spans="1:16" x14ac:dyDescent="0.35">
      <c r="A24">
        <v>234</v>
      </c>
      <c r="B24">
        <v>1.5053099999999999</v>
      </c>
      <c r="C24">
        <v>232</v>
      </c>
      <c r="D24">
        <v>1.5064070000000001</v>
      </c>
      <c r="E24">
        <v>227</v>
      </c>
      <c r="F24">
        <v>1.5014609999999999</v>
      </c>
      <c r="G24" s="8">
        <f t="shared" si="1"/>
        <v>5.7749999999999968E-2</v>
      </c>
      <c r="H24" s="8">
        <f t="shared" si="0"/>
        <v>946</v>
      </c>
      <c r="I24" s="9"/>
      <c r="J24" s="8"/>
      <c r="K24" s="8"/>
      <c r="M24">
        <v>1.5064070000000001</v>
      </c>
      <c r="N24">
        <f t="shared" si="2"/>
        <v>5.8035000000000059E-2</v>
      </c>
      <c r="O24">
        <v>1.5014609999999999</v>
      </c>
      <c r="P24">
        <f t="shared" si="3"/>
        <v>6.175799999999998E-2</v>
      </c>
    </row>
    <row r="25" spans="1:16" x14ac:dyDescent="0.35">
      <c r="A25">
        <v>233</v>
      </c>
      <c r="B25">
        <v>1.503752</v>
      </c>
      <c r="C25">
        <v>231</v>
      </c>
      <c r="D25">
        <v>1.5046010000000001</v>
      </c>
      <c r="E25">
        <v>226</v>
      </c>
      <c r="F25">
        <v>1.4989269999999999</v>
      </c>
      <c r="G25" s="8">
        <f t="shared" si="1"/>
        <v>5.9307999999999916E-2</v>
      </c>
      <c r="H25" s="8">
        <f t="shared" si="0"/>
        <v>972</v>
      </c>
      <c r="I25" s="9"/>
      <c r="J25" s="8"/>
      <c r="K25" s="8"/>
      <c r="M25">
        <v>1.5046010000000001</v>
      </c>
      <c r="N25">
        <f t="shared" si="2"/>
        <v>5.9841000000000033E-2</v>
      </c>
      <c r="O25">
        <v>1.4989269999999999</v>
      </c>
      <c r="P25">
        <f t="shared" si="3"/>
        <v>6.4292000000000016E-2</v>
      </c>
    </row>
    <row r="26" spans="1:16" x14ac:dyDescent="0.35">
      <c r="A26">
        <v>232</v>
      </c>
      <c r="B26">
        <v>1.5007379999999999</v>
      </c>
      <c r="C26">
        <v>230</v>
      </c>
      <c r="D26">
        <v>1.5016510000000001</v>
      </c>
      <c r="E26">
        <v>225</v>
      </c>
      <c r="F26">
        <v>1.496432</v>
      </c>
      <c r="G26" s="8">
        <f t="shared" si="1"/>
        <v>6.2321999999999989E-2</v>
      </c>
      <c r="H26" s="8">
        <f t="shared" si="0"/>
        <v>1021</v>
      </c>
      <c r="I26" s="11"/>
      <c r="J26" s="8"/>
      <c r="K26" s="8"/>
      <c r="M26">
        <v>1.5016510000000001</v>
      </c>
      <c r="N26">
        <f t="shared" si="2"/>
        <v>6.2791000000000041E-2</v>
      </c>
      <c r="O26">
        <v>1.496432</v>
      </c>
      <c r="P26">
        <f t="shared" si="3"/>
        <v>6.678699999999993E-2</v>
      </c>
    </row>
    <row r="27" spans="1:16" x14ac:dyDescent="0.35">
      <c r="A27">
        <v>231</v>
      </c>
      <c r="B27">
        <v>1.498227</v>
      </c>
      <c r="C27">
        <v>229</v>
      </c>
      <c r="D27">
        <v>1.4995050000000001</v>
      </c>
      <c r="E27">
        <v>224</v>
      </c>
      <c r="F27">
        <v>1.493822</v>
      </c>
      <c r="G27" s="8">
        <f t="shared" si="1"/>
        <v>6.4832999999999918E-2</v>
      </c>
      <c r="H27" s="8">
        <f t="shared" si="0"/>
        <v>1062</v>
      </c>
      <c r="I27" s="8">
        <v>39</v>
      </c>
      <c r="J27" s="8">
        <v>336842.21</v>
      </c>
      <c r="K27" s="8">
        <v>336842.21</v>
      </c>
      <c r="M27">
        <v>1.4995050000000001</v>
      </c>
      <c r="N27">
        <f t="shared" si="2"/>
        <v>6.4937000000000022E-2</v>
      </c>
      <c r="O27">
        <v>1.493822</v>
      </c>
      <c r="P27">
        <f t="shared" si="3"/>
        <v>6.9396999999999931E-2</v>
      </c>
    </row>
    <row r="28" spans="1:16" x14ac:dyDescent="0.35">
      <c r="A28">
        <v>230</v>
      </c>
      <c r="B28">
        <v>1.495395</v>
      </c>
      <c r="C28">
        <v>228</v>
      </c>
      <c r="D28">
        <v>1.4965360000000001</v>
      </c>
      <c r="E28">
        <v>223</v>
      </c>
      <c r="F28">
        <v>1.4926699999999999</v>
      </c>
      <c r="G28" s="8">
        <f t="shared" si="1"/>
        <v>6.7664999999999864E-2</v>
      </c>
      <c r="H28" s="8">
        <f t="shared" si="0"/>
        <v>1109</v>
      </c>
      <c r="I28" s="8"/>
      <c r="J28" s="8"/>
      <c r="K28" s="8">
        <v>351807.33428571402</v>
      </c>
      <c r="M28">
        <v>1.4965360000000001</v>
      </c>
      <c r="N28">
        <f t="shared" si="2"/>
        <v>6.7906000000000022E-2</v>
      </c>
      <c r="O28">
        <v>1.4926699999999999</v>
      </c>
      <c r="P28">
        <f t="shared" si="3"/>
        <v>7.0548999999999973E-2</v>
      </c>
    </row>
    <row r="29" spans="1:16" x14ac:dyDescent="0.35">
      <c r="A29">
        <v>229</v>
      </c>
      <c r="B29">
        <v>1.493514</v>
      </c>
      <c r="C29">
        <v>227</v>
      </c>
      <c r="D29">
        <v>1.4932650000000001</v>
      </c>
      <c r="E29">
        <v>222</v>
      </c>
      <c r="F29">
        <v>1.4900279999999999</v>
      </c>
      <c r="G29" s="8">
        <f t="shared" si="1"/>
        <v>6.9545999999999886E-2</v>
      </c>
      <c r="H29" s="8">
        <f t="shared" si="0"/>
        <v>1140</v>
      </c>
      <c r="I29" s="8"/>
      <c r="J29" s="8"/>
      <c r="K29" s="8">
        <v>366772.45857142803</v>
      </c>
      <c r="M29">
        <v>1.4932650000000001</v>
      </c>
      <c r="N29">
        <f t="shared" si="2"/>
        <v>7.1177000000000046E-2</v>
      </c>
      <c r="O29">
        <v>1.4900279999999999</v>
      </c>
      <c r="P29">
        <f t="shared" si="3"/>
        <v>7.3191000000000006E-2</v>
      </c>
    </row>
    <row r="30" spans="1:16" x14ac:dyDescent="0.35">
      <c r="A30">
        <v>228</v>
      </c>
      <c r="B30">
        <v>1.4907790000000001</v>
      </c>
      <c r="C30">
        <v>226</v>
      </c>
      <c r="D30">
        <v>1.4902470000000001</v>
      </c>
      <c r="E30">
        <v>221</v>
      </c>
      <c r="F30">
        <v>1.487493</v>
      </c>
      <c r="G30" s="8">
        <f t="shared" si="1"/>
        <v>7.2280999999999818E-2</v>
      </c>
      <c r="H30" s="8">
        <f t="shared" si="0"/>
        <v>1184</v>
      </c>
      <c r="I30" s="8"/>
      <c r="J30" s="8"/>
      <c r="K30" s="8">
        <v>381737.58285714203</v>
      </c>
      <c r="M30">
        <v>1.4902470000000001</v>
      </c>
      <c r="N30">
        <f t="shared" si="2"/>
        <v>7.4195000000000011E-2</v>
      </c>
      <c r="O30">
        <v>1.487493</v>
      </c>
      <c r="P30">
        <f t="shared" si="3"/>
        <v>7.572599999999996E-2</v>
      </c>
    </row>
    <row r="31" spans="1:16" x14ac:dyDescent="0.35">
      <c r="A31">
        <v>227</v>
      </c>
      <c r="B31">
        <v>1.4873240000000001</v>
      </c>
      <c r="C31">
        <v>225</v>
      </c>
      <c r="D31">
        <v>1.4879640000000001</v>
      </c>
      <c r="E31">
        <v>220</v>
      </c>
      <c r="F31">
        <v>1.4848570000000001</v>
      </c>
      <c r="G31" s="8">
        <f t="shared" si="1"/>
        <v>7.5735999999999803E-2</v>
      </c>
      <c r="H31" s="8">
        <f t="shared" si="0"/>
        <v>1241</v>
      </c>
      <c r="I31" s="8"/>
      <c r="J31" s="8"/>
      <c r="K31" s="8">
        <v>396702.70714285702</v>
      </c>
      <c r="M31">
        <v>1.4879640000000001</v>
      </c>
      <c r="N31">
        <f t="shared" si="2"/>
        <v>7.6478000000000046E-2</v>
      </c>
      <c r="O31">
        <v>1.4848570000000001</v>
      </c>
      <c r="P31">
        <f t="shared" si="3"/>
        <v>7.8361999999999821E-2</v>
      </c>
    </row>
    <row r="32" spans="1:16" x14ac:dyDescent="0.35">
      <c r="A32">
        <v>226</v>
      </c>
      <c r="B32">
        <v>1.484407</v>
      </c>
      <c r="C32">
        <v>224</v>
      </c>
      <c r="D32">
        <v>1.485268</v>
      </c>
      <c r="E32">
        <v>219</v>
      </c>
      <c r="F32">
        <v>1.4817659999999999</v>
      </c>
      <c r="G32" s="8">
        <f t="shared" si="1"/>
        <v>7.8652999999999862E-2</v>
      </c>
      <c r="H32" s="8">
        <f t="shared" si="0"/>
        <v>1289</v>
      </c>
      <c r="I32" s="8"/>
      <c r="J32" s="8"/>
      <c r="K32" s="8">
        <v>411667.83142857102</v>
      </c>
      <c r="M32">
        <v>1.485268</v>
      </c>
      <c r="N32">
        <f t="shared" si="2"/>
        <v>7.9174000000000078E-2</v>
      </c>
      <c r="O32">
        <v>1.4817659999999999</v>
      </c>
      <c r="P32">
        <f t="shared" si="3"/>
        <v>8.1452999999999998E-2</v>
      </c>
    </row>
    <row r="33" spans="1:16" x14ac:dyDescent="0.35">
      <c r="A33">
        <v>225</v>
      </c>
      <c r="B33">
        <v>1.48255</v>
      </c>
      <c r="C33">
        <v>223</v>
      </c>
      <c r="D33">
        <v>1.4798979999999999</v>
      </c>
      <c r="E33">
        <v>218</v>
      </c>
      <c r="F33">
        <v>1.4794579999999999</v>
      </c>
      <c r="G33" s="8">
        <f t="shared" si="1"/>
        <v>8.0509999999999859E-2</v>
      </c>
      <c r="H33" s="8">
        <f t="shared" si="0"/>
        <v>1319</v>
      </c>
      <c r="I33" s="8"/>
      <c r="J33" s="8"/>
      <c r="K33" s="8">
        <v>426632.95571428502</v>
      </c>
      <c r="M33">
        <v>1.4798979999999999</v>
      </c>
      <c r="N33">
        <f t="shared" si="2"/>
        <v>8.4544000000000175E-2</v>
      </c>
      <c r="O33">
        <v>1.4794579999999999</v>
      </c>
      <c r="P33">
        <f t="shared" si="3"/>
        <v>8.3760999999999974E-2</v>
      </c>
    </row>
    <row r="34" spans="1:16" x14ac:dyDescent="0.35">
      <c r="A34">
        <v>224</v>
      </c>
      <c r="B34">
        <v>1.479652</v>
      </c>
      <c r="C34">
        <v>222</v>
      </c>
      <c r="D34">
        <v>1.4769369999999999</v>
      </c>
      <c r="E34">
        <v>217</v>
      </c>
      <c r="F34">
        <v>1.476648</v>
      </c>
      <c r="G34" s="8">
        <f t="shared" si="1"/>
        <v>8.3407999999999927E-2</v>
      </c>
      <c r="H34" s="8">
        <f t="shared" si="0"/>
        <v>1367</v>
      </c>
      <c r="I34" s="8">
        <v>38.5</v>
      </c>
      <c r="J34" s="8">
        <v>441598.08</v>
      </c>
      <c r="K34" s="8">
        <v>441598.08</v>
      </c>
      <c r="M34">
        <v>1.4769369999999999</v>
      </c>
      <c r="N34">
        <f t="shared" si="2"/>
        <v>8.7505000000000166E-2</v>
      </c>
      <c r="O34">
        <v>1.476648</v>
      </c>
      <c r="P34">
        <f t="shared" si="3"/>
        <v>8.6570999999999954E-2</v>
      </c>
    </row>
    <row r="35" spans="1:16" x14ac:dyDescent="0.35">
      <c r="A35">
        <v>223</v>
      </c>
      <c r="B35">
        <v>1.4774499999999999</v>
      </c>
      <c r="C35">
        <v>221</v>
      </c>
      <c r="D35">
        <v>1.474496</v>
      </c>
      <c r="E35">
        <v>216</v>
      </c>
      <c r="F35">
        <v>1.4738800000000001</v>
      </c>
      <c r="G35" s="8">
        <f t="shared" si="1"/>
        <v>8.5609999999999964E-2</v>
      </c>
      <c r="H35" s="8">
        <f t="shared" si="0"/>
        <v>1403</v>
      </c>
      <c r="I35" s="8"/>
      <c r="J35" s="8"/>
      <c r="K35" s="8">
        <v>456049.47875000001</v>
      </c>
      <c r="M35">
        <v>1.474496</v>
      </c>
      <c r="N35">
        <f t="shared" si="2"/>
        <v>8.9946000000000081E-2</v>
      </c>
      <c r="O35">
        <v>1.4738800000000001</v>
      </c>
      <c r="P35">
        <f t="shared" si="3"/>
        <v>8.9338999999999835E-2</v>
      </c>
    </row>
    <row r="36" spans="1:16" x14ac:dyDescent="0.35">
      <c r="A36">
        <v>222</v>
      </c>
      <c r="B36">
        <v>1.474313</v>
      </c>
      <c r="C36">
        <v>220</v>
      </c>
      <c r="D36">
        <v>1.47156</v>
      </c>
      <c r="E36">
        <v>215</v>
      </c>
      <c r="F36">
        <v>1.468756</v>
      </c>
      <c r="G36" s="8">
        <f t="shared" si="1"/>
        <v>8.8746999999999909E-2</v>
      </c>
      <c r="H36" s="8">
        <f t="shared" si="0"/>
        <v>1454</v>
      </c>
      <c r="I36" s="8"/>
      <c r="J36" s="8"/>
      <c r="K36" s="8">
        <v>470500.8775</v>
      </c>
      <c r="M36">
        <v>1.47156</v>
      </c>
      <c r="N36">
        <f t="shared" si="2"/>
        <v>9.2882000000000131E-2</v>
      </c>
      <c r="O36">
        <v>1.468756</v>
      </c>
      <c r="P36">
        <f t="shared" si="3"/>
        <v>9.4462999999999964E-2</v>
      </c>
    </row>
    <row r="37" spans="1:16" x14ac:dyDescent="0.35">
      <c r="A37">
        <v>221</v>
      </c>
      <c r="B37">
        <v>1.4725299999999999</v>
      </c>
      <c r="C37">
        <v>219</v>
      </c>
      <c r="D37">
        <v>1.468372</v>
      </c>
      <c r="E37">
        <v>214</v>
      </c>
      <c r="F37">
        <v>1.465975</v>
      </c>
      <c r="G37" s="8">
        <f t="shared" si="1"/>
        <v>9.0529999999999999E-2</v>
      </c>
      <c r="H37" s="8">
        <f t="shared" si="0"/>
        <v>1484</v>
      </c>
      <c r="I37" s="8"/>
      <c r="J37" s="8"/>
      <c r="K37" s="8">
        <v>484952.27625</v>
      </c>
      <c r="M37">
        <v>1.468372</v>
      </c>
      <c r="N37">
        <f t="shared" si="2"/>
        <v>9.60700000000001E-2</v>
      </c>
      <c r="O37">
        <v>1.465975</v>
      </c>
      <c r="P37">
        <f t="shared" si="3"/>
        <v>9.7243999999999886E-2</v>
      </c>
    </row>
    <row r="38" spans="1:16" x14ac:dyDescent="0.35">
      <c r="A38">
        <v>220</v>
      </c>
      <c r="B38">
        <v>1.4697389999999999</v>
      </c>
      <c r="C38">
        <v>218</v>
      </c>
      <c r="D38">
        <v>1.465598</v>
      </c>
      <c r="E38">
        <v>213</v>
      </c>
      <c r="F38">
        <v>1.4635530000000001</v>
      </c>
      <c r="G38" s="8">
        <f t="shared" si="1"/>
        <v>9.3320999999999987E-2</v>
      </c>
      <c r="H38" s="8">
        <f t="shared" si="0"/>
        <v>1529</v>
      </c>
      <c r="I38" s="8"/>
      <c r="J38" s="8"/>
      <c r="K38" s="8">
        <v>499403.67499999999</v>
      </c>
      <c r="M38">
        <v>1.465598</v>
      </c>
      <c r="N38">
        <f t="shared" si="2"/>
        <v>9.8844000000000154E-2</v>
      </c>
      <c r="O38">
        <v>1.4635530000000001</v>
      </c>
      <c r="P38">
        <f t="shared" si="3"/>
        <v>9.966599999999981E-2</v>
      </c>
    </row>
    <row r="39" spans="1:16" x14ac:dyDescent="0.35">
      <c r="A39">
        <v>219</v>
      </c>
      <c r="B39">
        <v>1.465986</v>
      </c>
      <c r="C39">
        <v>217</v>
      </c>
      <c r="D39">
        <v>1.4630540000000001</v>
      </c>
      <c r="E39">
        <v>212</v>
      </c>
      <c r="F39">
        <v>1.4606840000000001</v>
      </c>
      <c r="G39" s="8">
        <f t="shared" si="1"/>
        <v>9.7073999999999883E-2</v>
      </c>
      <c r="H39" s="8">
        <f t="shared" si="0"/>
        <v>1591</v>
      </c>
      <c r="I39" s="8"/>
      <c r="J39" s="8"/>
      <c r="K39" s="8">
        <v>513855.07374999998</v>
      </c>
      <c r="M39">
        <v>1.4630540000000001</v>
      </c>
      <c r="N39">
        <f t="shared" si="2"/>
        <v>0.10138800000000003</v>
      </c>
      <c r="O39">
        <v>1.4606840000000001</v>
      </c>
      <c r="P39">
        <f t="shared" si="3"/>
        <v>0.10253499999999982</v>
      </c>
    </row>
    <row r="40" spans="1:16" x14ac:dyDescent="0.35">
      <c r="A40">
        <v>218</v>
      </c>
      <c r="B40">
        <v>1.4632639999999999</v>
      </c>
      <c r="C40">
        <v>216</v>
      </c>
      <c r="D40">
        <v>1.4603299999999999</v>
      </c>
      <c r="E40">
        <v>211</v>
      </c>
      <c r="F40">
        <v>1.457965</v>
      </c>
      <c r="G40" s="8">
        <f t="shared" si="1"/>
        <v>9.9795999999999996E-2</v>
      </c>
      <c r="H40" s="8">
        <f t="shared" si="0"/>
        <v>1636</v>
      </c>
      <c r="I40" s="8"/>
      <c r="J40" s="8"/>
      <c r="K40" s="8">
        <v>528306.47250000003</v>
      </c>
      <c r="M40">
        <v>1.4603299999999999</v>
      </c>
      <c r="N40">
        <f t="shared" si="2"/>
        <v>0.1041120000000002</v>
      </c>
      <c r="O40">
        <v>1.457965</v>
      </c>
      <c r="P40">
        <f t="shared" si="3"/>
        <v>0.10525399999999996</v>
      </c>
    </row>
    <row r="41" spans="1:16" x14ac:dyDescent="0.35">
      <c r="A41">
        <v>217</v>
      </c>
      <c r="B41">
        <v>1.4614549999999999</v>
      </c>
      <c r="C41">
        <v>215</v>
      </c>
      <c r="D41">
        <v>1.458283</v>
      </c>
      <c r="E41">
        <v>210</v>
      </c>
      <c r="F41">
        <v>1.4552039999999999</v>
      </c>
      <c r="G41" s="8">
        <f t="shared" si="1"/>
        <v>0.10160499999999995</v>
      </c>
      <c r="H41" s="8">
        <f t="shared" si="0"/>
        <v>1665</v>
      </c>
      <c r="I41" s="8"/>
      <c r="J41" s="8"/>
      <c r="K41" s="8">
        <v>542757.87124999997</v>
      </c>
      <c r="M41">
        <v>1.458283</v>
      </c>
      <c r="N41">
        <f t="shared" si="2"/>
        <v>0.10615900000000011</v>
      </c>
      <c r="O41">
        <v>1.4552039999999999</v>
      </c>
      <c r="P41">
        <f t="shared" si="3"/>
        <v>0.10801499999999997</v>
      </c>
    </row>
    <row r="42" spans="1:16" x14ac:dyDescent="0.35">
      <c r="A42">
        <v>216</v>
      </c>
      <c r="B42">
        <v>1.4584159999999999</v>
      </c>
      <c r="C42">
        <v>214</v>
      </c>
      <c r="D42">
        <v>1.4553750000000001</v>
      </c>
      <c r="E42">
        <v>209</v>
      </c>
      <c r="F42">
        <v>1.4528350000000001</v>
      </c>
      <c r="G42" s="8">
        <f t="shared" si="1"/>
        <v>0.10464399999999996</v>
      </c>
      <c r="H42" s="8">
        <f t="shared" si="0"/>
        <v>1715</v>
      </c>
      <c r="I42" s="8">
        <v>38</v>
      </c>
      <c r="J42" s="8">
        <v>557209.27</v>
      </c>
      <c r="K42" s="8">
        <v>557209.27</v>
      </c>
      <c r="M42">
        <v>1.4553750000000001</v>
      </c>
      <c r="N42">
        <f t="shared" si="2"/>
        <v>0.10906700000000003</v>
      </c>
      <c r="O42">
        <v>1.4528350000000001</v>
      </c>
      <c r="P42">
        <f t="shared" si="3"/>
        <v>0.11038399999999982</v>
      </c>
    </row>
    <row r="43" spans="1:16" x14ac:dyDescent="0.35">
      <c r="A43">
        <v>215</v>
      </c>
      <c r="B43">
        <v>1.456002</v>
      </c>
      <c r="C43">
        <v>213</v>
      </c>
      <c r="D43">
        <v>1.453133</v>
      </c>
      <c r="E43">
        <v>208</v>
      </c>
      <c r="F43">
        <v>1.4500360000000001</v>
      </c>
      <c r="G43" s="8">
        <f t="shared" si="1"/>
        <v>0.10705799999999988</v>
      </c>
      <c r="H43" s="8">
        <f t="shared" si="0"/>
        <v>1755</v>
      </c>
      <c r="I43" s="8"/>
      <c r="J43" s="8"/>
      <c r="K43" s="8">
        <v>572059.18625000003</v>
      </c>
      <c r="M43">
        <v>1.453133</v>
      </c>
      <c r="N43">
        <f t="shared" si="2"/>
        <v>0.1113090000000001</v>
      </c>
      <c r="O43">
        <v>1.4500360000000001</v>
      </c>
      <c r="P43">
        <f t="shared" si="3"/>
        <v>0.11318299999999981</v>
      </c>
    </row>
    <row r="44" spans="1:16" x14ac:dyDescent="0.35">
      <c r="A44">
        <v>214</v>
      </c>
      <c r="B44">
        <v>1.4533119999999999</v>
      </c>
      <c r="C44">
        <v>212</v>
      </c>
      <c r="D44">
        <v>1.4500960000000001</v>
      </c>
      <c r="E44">
        <v>207</v>
      </c>
      <c r="F44">
        <v>1.4458800000000001</v>
      </c>
      <c r="G44" s="8">
        <f t="shared" si="1"/>
        <v>0.10974799999999996</v>
      </c>
      <c r="H44" s="8">
        <f t="shared" si="0"/>
        <v>1799</v>
      </c>
      <c r="I44" s="8"/>
      <c r="J44" s="8"/>
      <c r="K44" s="8">
        <v>586909.10250000004</v>
      </c>
      <c r="M44">
        <v>1.4500960000000001</v>
      </c>
      <c r="N44">
        <f t="shared" si="2"/>
        <v>0.11434600000000006</v>
      </c>
      <c r="O44">
        <v>1.4458800000000001</v>
      </c>
      <c r="P44">
        <f t="shared" si="3"/>
        <v>0.11733899999999986</v>
      </c>
    </row>
    <row r="45" spans="1:16" x14ac:dyDescent="0.35">
      <c r="A45">
        <v>213</v>
      </c>
      <c r="B45">
        <v>1.45136</v>
      </c>
      <c r="C45">
        <v>211</v>
      </c>
      <c r="D45">
        <v>1.446874</v>
      </c>
      <c r="E45">
        <v>206</v>
      </c>
      <c r="F45">
        <v>1.4431929999999999</v>
      </c>
      <c r="G45" s="8">
        <f t="shared" si="1"/>
        <v>0.11169999999999991</v>
      </c>
      <c r="H45" s="8">
        <f t="shared" si="0"/>
        <v>1831</v>
      </c>
      <c r="I45" s="8"/>
      <c r="J45" s="8"/>
      <c r="K45" s="8">
        <v>601759.01875000005</v>
      </c>
      <c r="M45">
        <v>1.446874</v>
      </c>
      <c r="N45">
        <f t="shared" si="2"/>
        <v>0.11756800000000012</v>
      </c>
      <c r="O45">
        <v>1.4431929999999999</v>
      </c>
      <c r="P45">
        <f t="shared" si="3"/>
        <v>0.12002599999999997</v>
      </c>
    </row>
    <row r="46" spans="1:16" x14ac:dyDescent="0.35">
      <c r="A46">
        <v>212</v>
      </c>
      <c r="B46">
        <v>1.448561</v>
      </c>
      <c r="C46">
        <v>210</v>
      </c>
      <c r="D46">
        <v>1.4439219999999999</v>
      </c>
      <c r="E46">
        <v>205</v>
      </c>
      <c r="F46">
        <v>1.44059</v>
      </c>
      <c r="G46" s="8">
        <f t="shared" si="1"/>
        <v>0.11449899999999991</v>
      </c>
      <c r="H46" s="8">
        <f t="shared" si="0"/>
        <v>1877</v>
      </c>
      <c r="I46" s="8"/>
      <c r="J46" s="8"/>
      <c r="K46" s="8">
        <v>616608.93500000006</v>
      </c>
      <c r="M46">
        <v>1.4439219999999999</v>
      </c>
      <c r="N46">
        <f t="shared" si="2"/>
        <v>0.12052000000000018</v>
      </c>
      <c r="O46">
        <v>1.44059</v>
      </c>
      <c r="P46">
        <f t="shared" si="3"/>
        <v>0.12262899999999988</v>
      </c>
    </row>
    <row r="47" spans="1:16" x14ac:dyDescent="0.35">
      <c r="A47">
        <v>211</v>
      </c>
      <c r="B47">
        <v>1.4450369999999999</v>
      </c>
      <c r="C47">
        <v>209</v>
      </c>
      <c r="D47">
        <v>1.4415100000000001</v>
      </c>
      <c r="E47">
        <v>204</v>
      </c>
      <c r="F47">
        <v>1.437999</v>
      </c>
      <c r="G47" s="8">
        <f t="shared" si="1"/>
        <v>0.11802299999999999</v>
      </c>
      <c r="H47" s="8">
        <f t="shared" si="0"/>
        <v>1934</v>
      </c>
      <c r="I47" s="8"/>
      <c r="J47" s="8"/>
      <c r="K47" s="8">
        <v>631458.85124999995</v>
      </c>
      <c r="M47">
        <v>1.4415100000000001</v>
      </c>
      <c r="N47">
        <f t="shared" si="2"/>
        <v>0.12293200000000004</v>
      </c>
      <c r="O47">
        <v>1.437999</v>
      </c>
      <c r="P47">
        <f t="shared" si="3"/>
        <v>0.12521999999999989</v>
      </c>
    </row>
    <row r="48" spans="1:16" x14ac:dyDescent="0.35">
      <c r="A48">
        <v>210</v>
      </c>
      <c r="B48">
        <v>1.441916</v>
      </c>
      <c r="C48">
        <v>208</v>
      </c>
      <c r="D48">
        <v>1.438723</v>
      </c>
      <c r="E48">
        <v>203</v>
      </c>
      <c r="F48">
        <v>1.435041</v>
      </c>
      <c r="G48" s="8">
        <f t="shared" si="1"/>
        <v>0.12114399999999992</v>
      </c>
      <c r="H48" s="8">
        <f t="shared" si="0"/>
        <v>1985</v>
      </c>
      <c r="I48" s="8"/>
      <c r="J48" s="8"/>
      <c r="K48" s="8">
        <v>646308.76749999996</v>
      </c>
      <c r="M48">
        <v>1.438723</v>
      </c>
      <c r="N48">
        <f t="shared" si="2"/>
        <v>0.12571900000000014</v>
      </c>
      <c r="O48">
        <v>1.435041</v>
      </c>
      <c r="P48">
        <f t="shared" si="3"/>
        <v>0.1281779999999999</v>
      </c>
    </row>
    <row r="49" spans="1:16" x14ac:dyDescent="0.35">
      <c r="A49">
        <v>209</v>
      </c>
      <c r="B49">
        <v>1.440369</v>
      </c>
      <c r="C49">
        <v>207</v>
      </c>
      <c r="D49">
        <v>1.4349130000000001</v>
      </c>
      <c r="E49">
        <v>202</v>
      </c>
      <c r="F49">
        <v>1.4324349999999999</v>
      </c>
      <c r="G49" s="8">
        <f t="shared" si="1"/>
        <v>0.12269099999999988</v>
      </c>
      <c r="H49" s="8">
        <f t="shared" si="0"/>
        <v>2011</v>
      </c>
      <c r="I49" s="8"/>
      <c r="J49" s="8"/>
      <c r="K49" s="8">
        <v>661158.68374999997</v>
      </c>
      <c r="M49">
        <v>1.4349130000000001</v>
      </c>
      <c r="N49">
        <f t="shared" si="2"/>
        <v>0.12952900000000001</v>
      </c>
      <c r="O49">
        <v>1.4324349999999999</v>
      </c>
      <c r="P49">
        <f t="shared" si="3"/>
        <v>0.13078400000000001</v>
      </c>
    </row>
    <row r="50" spans="1:16" x14ac:dyDescent="0.35">
      <c r="A50">
        <v>208</v>
      </c>
      <c r="B50">
        <v>1.437273</v>
      </c>
      <c r="C50">
        <v>206</v>
      </c>
      <c r="D50">
        <v>1.4320440000000001</v>
      </c>
      <c r="E50">
        <v>201</v>
      </c>
      <c r="F50">
        <v>1.429899</v>
      </c>
      <c r="G50" s="8">
        <f t="shared" si="1"/>
        <v>0.12578699999999987</v>
      </c>
      <c r="H50" s="8">
        <f t="shared" si="0"/>
        <v>2062</v>
      </c>
      <c r="I50" s="8">
        <v>37.5</v>
      </c>
      <c r="J50" s="8">
        <v>676008.6</v>
      </c>
      <c r="K50" s="8">
        <v>676008.6</v>
      </c>
      <c r="M50">
        <v>1.4320440000000001</v>
      </c>
      <c r="N50">
        <f t="shared" si="2"/>
        <v>0.13239800000000002</v>
      </c>
      <c r="O50">
        <v>1.429899</v>
      </c>
      <c r="P50">
        <f t="shared" si="3"/>
        <v>0.13331999999999988</v>
      </c>
    </row>
    <row r="51" spans="1:16" x14ac:dyDescent="0.35">
      <c r="A51">
        <v>207</v>
      </c>
      <c r="B51">
        <v>1.432653</v>
      </c>
      <c r="C51">
        <v>205</v>
      </c>
      <c r="D51">
        <v>1.4297519999999999</v>
      </c>
      <c r="E51">
        <v>200</v>
      </c>
      <c r="F51">
        <v>1.427189</v>
      </c>
      <c r="G51" s="8">
        <f t="shared" si="1"/>
        <v>0.13040699999999994</v>
      </c>
      <c r="H51" s="8">
        <f t="shared" si="0"/>
        <v>2137</v>
      </c>
      <c r="I51" s="8"/>
      <c r="J51" s="8"/>
      <c r="K51" s="8">
        <v>688801.75222222204</v>
      </c>
      <c r="M51">
        <v>1.4297519999999999</v>
      </c>
      <c r="N51">
        <f t="shared" si="2"/>
        <v>0.1346900000000002</v>
      </c>
      <c r="O51">
        <v>1.427189</v>
      </c>
      <c r="P51">
        <f t="shared" si="3"/>
        <v>0.13602999999999987</v>
      </c>
    </row>
    <row r="52" spans="1:16" x14ac:dyDescent="0.35">
      <c r="A52">
        <v>206</v>
      </c>
      <c r="B52">
        <v>1.4296949999999999</v>
      </c>
      <c r="C52" s="5">
        <v>204</v>
      </c>
      <c r="D52">
        <v>1.426868</v>
      </c>
      <c r="E52">
        <v>199</v>
      </c>
      <c r="F52">
        <v>1.4221239999999999</v>
      </c>
      <c r="G52" s="8">
        <f t="shared" si="1"/>
        <v>0.13336499999999996</v>
      </c>
      <c r="H52" s="8">
        <f t="shared" si="0"/>
        <v>2186</v>
      </c>
      <c r="I52" s="8"/>
      <c r="J52" s="8"/>
      <c r="K52" s="8">
        <v>701594.90444444399</v>
      </c>
      <c r="M52">
        <v>1.426868</v>
      </c>
      <c r="N52">
        <f t="shared" si="2"/>
        <v>0.13757400000000009</v>
      </c>
      <c r="O52">
        <v>1.4221239999999999</v>
      </c>
      <c r="P52">
        <f t="shared" si="3"/>
        <v>0.14109499999999997</v>
      </c>
    </row>
    <row r="53" spans="1:16" x14ac:dyDescent="0.35">
      <c r="A53">
        <v>205</v>
      </c>
      <c r="B53">
        <v>1.427872</v>
      </c>
      <c r="C53">
        <v>203</v>
      </c>
      <c r="D53">
        <v>1.423335</v>
      </c>
      <c r="E53">
        <v>198</v>
      </c>
      <c r="F53">
        <v>1.419316</v>
      </c>
      <c r="G53" s="8">
        <f t="shared" si="1"/>
        <v>0.13518799999999986</v>
      </c>
      <c r="H53" s="8">
        <f t="shared" si="0"/>
        <v>2216</v>
      </c>
      <c r="I53" s="8"/>
      <c r="J53" s="8"/>
      <c r="K53" s="8">
        <v>714388.05666666594</v>
      </c>
      <c r="M53">
        <v>1.423335</v>
      </c>
      <c r="N53">
        <f t="shared" si="2"/>
        <v>0.14110700000000009</v>
      </c>
      <c r="O53">
        <v>1.419316</v>
      </c>
      <c r="P53">
        <f t="shared" si="3"/>
        <v>0.14390299999999989</v>
      </c>
    </row>
    <row r="54" spans="1:16" x14ac:dyDescent="0.35">
      <c r="A54">
        <v>204</v>
      </c>
      <c r="B54">
        <v>1.4248019999999999</v>
      </c>
      <c r="C54">
        <v>202</v>
      </c>
      <c r="D54">
        <v>1.4205239999999999</v>
      </c>
      <c r="E54">
        <v>197</v>
      </c>
      <c r="F54">
        <v>1.416879</v>
      </c>
      <c r="G54" s="8">
        <f t="shared" si="1"/>
        <v>0.13825799999999999</v>
      </c>
      <c r="H54" s="8">
        <f t="shared" si="0"/>
        <v>2266</v>
      </c>
      <c r="I54" s="8"/>
      <c r="J54" s="8"/>
      <c r="K54" s="8">
        <v>727181.20888888801</v>
      </c>
      <c r="M54">
        <v>1.4205239999999999</v>
      </c>
      <c r="N54">
        <f t="shared" si="2"/>
        <v>0.14391800000000021</v>
      </c>
      <c r="O54">
        <v>1.416879</v>
      </c>
      <c r="P54">
        <f t="shared" si="3"/>
        <v>0.14633999999999991</v>
      </c>
    </row>
    <row r="55" spans="1:16" x14ac:dyDescent="0.35">
      <c r="A55">
        <v>203</v>
      </c>
      <c r="B55">
        <v>1.421338</v>
      </c>
      <c r="C55">
        <v>201</v>
      </c>
      <c r="D55">
        <v>1.4181159999999999</v>
      </c>
      <c r="E55">
        <v>196</v>
      </c>
      <c r="F55">
        <v>1.4140330000000001</v>
      </c>
      <c r="G55" s="8">
        <f t="shared" si="1"/>
        <v>0.1417219999999999</v>
      </c>
      <c r="H55" s="8">
        <f t="shared" si="0"/>
        <v>2323</v>
      </c>
      <c r="I55" s="8"/>
      <c r="J55" s="8"/>
      <c r="K55" s="8">
        <v>739974.36111111101</v>
      </c>
      <c r="M55">
        <v>1.4181159999999999</v>
      </c>
      <c r="N55">
        <f t="shared" si="2"/>
        <v>0.14632600000000018</v>
      </c>
      <c r="O55">
        <v>1.4140330000000001</v>
      </c>
      <c r="P55">
        <f t="shared" si="3"/>
        <v>0.14918599999999982</v>
      </c>
    </row>
    <row r="56" spans="1:16" x14ac:dyDescent="0.35">
      <c r="A56">
        <v>202</v>
      </c>
      <c r="B56">
        <v>1.4186300000000001</v>
      </c>
      <c r="C56">
        <v>200</v>
      </c>
      <c r="D56">
        <v>1.4152169999999999</v>
      </c>
      <c r="E56">
        <v>195</v>
      </c>
      <c r="F56">
        <v>1.4113009999999999</v>
      </c>
      <c r="G56" s="8">
        <f t="shared" si="1"/>
        <v>0.14442999999999984</v>
      </c>
      <c r="H56" s="8">
        <f t="shared" si="0"/>
        <v>2367</v>
      </c>
      <c r="I56" s="8"/>
      <c r="J56" s="8"/>
      <c r="K56" s="8">
        <v>752767.51333333296</v>
      </c>
      <c r="M56">
        <v>1.4152169999999999</v>
      </c>
      <c r="N56">
        <f t="shared" si="2"/>
        <v>0.14922500000000016</v>
      </c>
      <c r="O56">
        <v>1.4113009999999999</v>
      </c>
      <c r="P56">
        <f t="shared" si="3"/>
        <v>0.151918</v>
      </c>
    </row>
    <row r="57" spans="1:16" x14ac:dyDescent="0.35">
      <c r="A57">
        <v>201</v>
      </c>
      <c r="B57">
        <v>1.4167799999999999</v>
      </c>
      <c r="C57">
        <v>199</v>
      </c>
      <c r="D57">
        <v>1.413413</v>
      </c>
      <c r="E57">
        <v>194</v>
      </c>
      <c r="F57">
        <v>1.408433</v>
      </c>
      <c r="G57" s="8">
        <f t="shared" si="1"/>
        <v>0.14627999999999997</v>
      </c>
      <c r="H57" s="8">
        <f t="shared" si="0"/>
        <v>2398</v>
      </c>
      <c r="I57" s="8"/>
      <c r="J57" s="8"/>
      <c r="K57" s="8">
        <v>765560.66555555502</v>
      </c>
      <c r="M57">
        <v>1.413413</v>
      </c>
      <c r="N57">
        <f t="shared" si="2"/>
        <v>0.15102900000000008</v>
      </c>
      <c r="O57">
        <v>1.408433</v>
      </c>
      <c r="P57">
        <f t="shared" si="3"/>
        <v>0.15478599999999987</v>
      </c>
    </row>
    <row r="58" spans="1:16" x14ac:dyDescent="0.35">
      <c r="A58">
        <v>200</v>
      </c>
      <c r="B58">
        <v>1.4136280000000001</v>
      </c>
      <c r="C58">
        <v>198</v>
      </c>
      <c r="D58">
        <v>1.4105259999999999</v>
      </c>
      <c r="E58">
        <v>193</v>
      </c>
      <c r="F58">
        <v>1.4059459999999999</v>
      </c>
      <c r="G58" s="8">
        <f t="shared" si="1"/>
        <v>0.14943199999999979</v>
      </c>
      <c r="H58" s="8">
        <f t="shared" si="0"/>
        <v>2449</v>
      </c>
      <c r="I58" s="8"/>
      <c r="J58" s="8"/>
      <c r="K58" s="8">
        <v>778353.81777777697</v>
      </c>
      <c r="M58">
        <v>1.4105259999999999</v>
      </c>
      <c r="N58">
        <f t="shared" si="2"/>
        <v>0.15391600000000016</v>
      </c>
      <c r="O58">
        <v>1.4059459999999999</v>
      </c>
      <c r="P58">
        <f t="shared" si="3"/>
        <v>0.157273</v>
      </c>
    </row>
    <row r="59" spans="1:16" x14ac:dyDescent="0.35">
      <c r="A59">
        <v>199</v>
      </c>
      <c r="B59">
        <v>1.4113249999999999</v>
      </c>
      <c r="C59">
        <v>197</v>
      </c>
      <c r="D59">
        <v>1.4080170000000001</v>
      </c>
      <c r="E59">
        <v>192</v>
      </c>
      <c r="F59">
        <v>1.403087</v>
      </c>
      <c r="G59" s="8">
        <f t="shared" si="1"/>
        <v>0.15173499999999995</v>
      </c>
      <c r="H59" s="8">
        <f t="shared" si="0"/>
        <v>2487</v>
      </c>
      <c r="I59" s="8">
        <v>37</v>
      </c>
      <c r="J59" s="8">
        <v>791146.97</v>
      </c>
      <c r="K59" s="8">
        <v>791146.97</v>
      </c>
      <c r="M59">
        <v>1.4080170000000001</v>
      </c>
      <c r="N59">
        <f t="shared" si="2"/>
        <v>0.15642500000000004</v>
      </c>
      <c r="O59">
        <v>1.403087</v>
      </c>
      <c r="P59">
        <f t="shared" si="3"/>
        <v>0.16013199999999994</v>
      </c>
    </row>
    <row r="60" spans="1:16" x14ac:dyDescent="0.35">
      <c r="A60">
        <v>198</v>
      </c>
      <c r="B60">
        <v>1.408229</v>
      </c>
      <c r="C60">
        <v>196</v>
      </c>
      <c r="D60">
        <v>1.405133</v>
      </c>
      <c r="E60">
        <v>191</v>
      </c>
      <c r="F60">
        <v>1.408679</v>
      </c>
      <c r="G60" s="8">
        <f t="shared" si="1"/>
        <v>0.15483099999999994</v>
      </c>
      <c r="H60" s="8">
        <f t="shared" si="0"/>
        <v>2538</v>
      </c>
      <c r="I60" s="8"/>
      <c r="J60" s="8"/>
      <c r="K60" s="8">
        <v>807380.01857142802</v>
      </c>
      <c r="M60">
        <v>1.405133</v>
      </c>
      <c r="N60">
        <f t="shared" si="2"/>
        <v>0.15930900000000014</v>
      </c>
      <c r="O60">
        <v>1.408679</v>
      </c>
      <c r="P60">
        <f t="shared" si="3"/>
        <v>0.1545399999999999</v>
      </c>
    </row>
    <row r="61" spans="1:16" x14ac:dyDescent="0.35">
      <c r="A61">
        <v>197</v>
      </c>
      <c r="B61">
        <v>1.4063760000000001</v>
      </c>
      <c r="C61">
        <v>195</v>
      </c>
      <c r="D61">
        <v>1.401877</v>
      </c>
      <c r="E61">
        <v>190</v>
      </c>
      <c r="F61">
        <v>1.4060980000000001</v>
      </c>
      <c r="G61" s="8">
        <f t="shared" si="1"/>
        <v>0.15668399999999982</v>
      </c>
      <c r="H61" s="8">
        <f t="shared" si="0"/>
        <v>2568</v>
      </c>
      <c r="I61" s="8"/>
      <c r="J61" s="8"/>
      <c r="K61" s="8">
        <v>823613.06714285701</v>
      </c>
      <c r="M61">
        <v>1.401877</v>
      </c>
      <c r="N61">
        <f t="shared" si="2"/>
        <v>0.16256500000000007</v>
      </c>
      <c r="O61">
        <v>1.4060980000000001</v>
      </c>
      <c r="P61">
        <f t="shared" si="3"/>
        <v>0.15712099999999984</v>
      </c>
    </row>
    <row r="62" spans="1:16" x14ac:dyDescent="0.35">
      <c r="A62">
        <v>196</v>
      </c>
      <c r="B62">
        <v>1.40337</v>
      </c>
      <c r="C62">
        <v>194</v>
      </c>
      <c r="D62">
        <v>1.398973</v>
      </c>
      <c r="E62">
        <v>189</v>
      </c>
      <c r="F62">
        <v>1.403403</v>
      </c>
      <c r="G62" s="8">
        <f t="shared" si="1"/>
        <v>0.15968999999999989</v>
      </c>
      <c r="H62" s="8">
        <f t="shared" si="0"/>
        <v>2617</v>
      </c>
      <c r="I62" s="8"/>
      <c r="J62" s="8"/>
      <c r="K62" s="8">
        <v>839846.11571428506</v>
      </c>
      <c r="M62">
        <v>1.398973</v>
      </c>
      <c r="N62">
        <f t="shared" si="2"/>
        <v>0.16546900000000009</v>
      </c>
      <c r="O62">
        <v>1.403403</v>
      </c>
      <c r="P62">
        <f t="shared" si="3"/>
        <v>0.15981599999999996</v>
      </c>
    </row>
    <row r="63" spans="1:16" x14ac:dyDescent="0.35">
      <c r="A63">
        <v>195</v>
      </c>
      <c r="B63">
        <v>1.3999239999999999</v>
      </c>
      <c r="C63">
        <v>193</v>
      </c>
      <c r="D63">
        <v>1.396493</v>
      </c>
      <c r="E63">
        <v>188</v>
      </c>
      <c r="F63">
        <v>1.400771</v>
      </c>
      <c r="G63" s="8">
        <f t="shared" si="1"/>
        <v>0.16313599999999995</v>
      </c>
      <c r="H63" s="8">
        <f t="shared" si="0"/>
        <v>2674</v>
      </c>
      <c r="I63" s="8"/>
      <c r="J63" s="8"/>
      <c r="K63" s="8">
        <v>856079.16428571404</v>
      </c>
      <c r="M63">
        <v>1.396493</v>
      </c>
      <c r="N63">
        <f t="shared" si="2"/>
        <v>0.16794900000000013</v>
      </c>
      <c r="O63">
        <v>1.400771</v>
      </c>
      <c r="P63">
        <f t="shared" si="3"/>
        <v>0.16244799999999993</v>
      </c>
    </row>
    <row r="64" spans="1:16" x14ac:dyDescent="0.35">
      <c r="A64">
        <v>194</v>
      </c>
      <c r="B64">
        <v>1.396876</v>
      </c>
      <c r="C64">
        <v>192</v>
      </c>
      <c r="D64">
        <v>1.3935500000000001</v>
      </c>
      <c r="E64">
        <v>187</v>
      </c>
      <c r="F64">
        <v>1.397931</v>
      </c>
      <c r="G64" s="8">
        <f t="shared" si="1"/>
        <v>0.16618399999999989</v>
      </c>
      <c r="H64" s="8">
        <f t="shared" si="0"/>
        <v>2724</v>
      </c>
      <c r="I64" s="8"/>
      <c r="J64" s="8"/>
      <c r="K64" s="8">
        <v>872312.21285714197</v>
      </c>
      <c r="M64">
        <v>1.3935500000000001</v>
      </c>
      <c r="N64">
        <f t="shared" si="2"/>
        <v>0.17089200000000004</v>
      </c>
      <c r="O64">
        <v>1.397931</v>
      </c>
      <c r="P64">
        <f t="shared" si="3"/>
        <v>0.16528799999999988</v>
      </c>
    </row>
    <row r="65" spans="1:16" x14ac:dyDescent="0.35">
      <c r="A65">
        <v>193</v>
      </c>
      <c r="B65">
        <v>1.39493</v>
      </c>
      <c r="C65">
        <v>191</v>
      </c>
      <c r="D65">
        <v>1.3965700000000001</v>
      </c>
      <c r="E65">
        <v>186</v>
      </c>
      <c r="F65">
        <v>1.395248</v>
      </c>
      <c r="G65" s="8">
        <f t="shared" si="1"/>
        <v>0.16812999999999989</v>
      </c>
      <c r="H65" s="8">
        <f t="shared" si="0"/>
        <v>2756</v>
      </c>
      <c r="I65" s="8"/>
      <c r="J65" s="8"/>
      <c r="K65" s="8">
        <v>888545.26142857096</v>
      </c>
      <c r="M65">
        <v>1.3965700000000001</v>
      </c>
      <c r="N65">
        <f t="shared" si="2"/>
        <v>0.16787200000000002</v>
      </c>
      <c r="O65">
        <v>1.395248</v>
      </c>
      <c r="P65">
        <f t="shared" si="3"/>
        <v>0.16797099999999987</v>
      </c>
    </row>
    <row r="66" spans="1:16" x14ac:dyDescent="0.35">
      <c r="A66">
        <v>192</v>
      </c>
      <c r="B66">
        <v>1.3919109999999999</v>
      </c>
      <c r="C66">
        <v>190</v>
      </c>
      <c r="D66">
        <v>1.3936390000000001</v>
      </c>
      <c r="E66">
        <v>185</v>
      </c>
      <c r="F66">
        <v>1.3926620000000001</v>
      </c>
      <c r="G66" s="8">
        <f t="shared" si="1"/>
        <v>0.171149</v>
      </c>
      <c r="H66" s="8">
        <f t="shared" si="0"/>
        <v>2805</v>
      </c>
      <c r="I66" s="8">
        <v>36.5</v>
      </c>
      <c r="J66" s="8">
        <v>904778.31</v>
      </c>
      <c r="K66" s="8">
        <v>904778.31</v>
      </c>
      <c r="M66">
        <v>1.3936390000000001</v>
      </c>
      <c r="N66">
        <f t="shared" si="2"/>
        <v>0.17080300000000004</v>
      </c>
      <c r="O66">
        <v>1.3926620000000001</v>
      </c>
      <c r="P66">
        <f t="shared" si="3"/>
        <v>0.17055699999999985</v>
      </c>
    </row>
    <row r="67" spans="1:16" x14ac:dyDescent="0.35">
      <c r="A67">
        <v>191</v>
      </c>
      <c r="B67">
        <v>1.3926780000000001</v>
      </c>
      <c r="C67">
        <v>189</v>
      </c>
      <c r="D67">
        <v>1.3913770000000001</v>
      </c>
      <c r="E67">
        <v>184</v>
      </c>
      <c r="F67">
        <v>1.3897200000000001</v>
      </c>
      <c r="G67" s="8">
        <f t="shared" si="1"/>
        <v>0.17038199999999981</v>
      </c>
      <c r="H67" s="8">
        <f t="shared" si="0"/>
        <v>2793</v>
      </c>
      <c r="I67" s="8"/>
      <c r="J67" s="8"/>
      <c r="K67" s="8">
        <v>920671.07714285702</v>
      </c>
      <c r="M67">
        <v>1.3913770000000001</v>
      </c>
      <c r="N67">
        <f t="shared" si="2"/>
        <v>0.17306500000000002</v>
      </c>
      <c r="O67">
        <v>1.3897200000000001</v>
      </c>
      <c r="P67">
        <f t="shared" si="3"/>
        <v>0.17349899999999985</v>
      </c>
    </row>
    <row r="68" spans="1:16" x14ac:dyDescent="0.35">
      <c r="A68">
        <v>190</v>
      </c>
      <c r="B68">
        <v>1.3893869999999999</v>
      </c>
      <c r="C68">
        <v>188</v>
      </c>
      <c r="D68">
        <v>1.388385</v>
      </c>
      <c r="E68">
        <v>183</v>
      </c>
      <c r="F68">
        <v>1.3846419999999999</v>
      </c>
      <c r="G68" s="8">
        <f t="shared" si="1"/>
        <v>0.17367299999999997</v>
      </c>
      <c r="H68" s="8">
        <f t="shared" si="0"/>
        <v>2847</v>
      </c>
      <c r="I68" s="8"/>
      <c r="J68" s="8"/>
      <c r="K68" s="8">
        <v>936563.84428571397</v>
      </c>
      <c r="M68">
        <v>1.388385</v>
      </c>
      <c r="N68">
        <f t="shared" si="2"/>
        <v>0.17605700000000013</v>
      </c>
      <c r="O68">
        <v>1.3846419999999999</v>
      </c>
      <c r="P68">
        <f t="shared" si="3"/>
        <v>0.17857699999999999</v>
      </c>
    </row>
    <row r="69" spans="1:16" x14ac:dyDescent="0.35">
      <c r="A69">
        <v>189</v>
      </c>
      <c r="B69">
        <v>1.387753</v>
      </c>
      <c r="C69">
        <v>187</v>
      </c>
      <c r="D69">
        <v>1.3849959999999999</v>
      </c>
      <c r="E69">
        <v>182</v>
      </c>
      <c r="F69">
        <v>1.3817630000000001</v>
      </c>
      <c r="G69" s="8">
        <f t="shared" si="1"/>
        <v>0.17530699999999988</v>
      </c>
      <c r="H69" s="8">
        <f t="shared" ref="H69:H132" si="4">INT(G69/(6.1*10^(-5)))</f>
        <v>2873</v>
      </c>
      <c r="I69" s="8"/>
      <c r="J69" s="8"/>
      <c r="K69" s="8">
        <v>952456.61142857105</v>
      </c>
      <c r="M69">
        <v>1.3849959999999999</v>
      </c>
      <c r="N69">
        <f t="shared" si="2"/>
        <v>0.17944600000000022</v>
      </c>
      <c r="O69">
        <v>1.3817630000000001</v>
      </c>
      <c r="P69">
        <f t="shared" si="3"/>
        <v>0.18145599999999984</v>
      </c>
    </row>
    <row r="70" spans="1:16" x14ac:dyDescent="0.35">
      <c r="A70">
        <v>188</v>
      </c>
      <c r="B70">
        <v>1.3845259999999999</v>
      </c>
      <c r="C70">
        <v>186</v>
      </c>
      <c r="D70">
        <v>1.3821030000000001</v>
      </c>
      <c r="E70">
        <v>181</v>
      </c>
      <c r="F70">
        <v>1.379051</v>
      </c>
      <c r="G70" s="8">
        <f t="shared" ref="G70:G133" si="5">G69+(B69-B70)</f>
        <v>0.17853399999999997</v>
      </c>
      <c r="H70" s="8">
        <f t="shared" si="4"/>
        <v>2926</v>
      </c>
      <c r="I70" s="8"/>
      <c r="J70" s="8"/>
      <c r="K70" s="8">
        <v>968349.37857142801</v>
      </c>
      <c r="M70">
        <v>1.3821030000000001</v>
      </c>
      <c r="N70">
        <f t="shared" ref="N70:N133" si="6">N69+(M69-M70)</f>
        <v>0.18233900000000003</v>
      </c>
      <c r="O70">
        <v>1.379051</v>
      </c>
      <c r="P70">
        <f t="shared" ref="P70:P133" si="7">P69+(O69-O70)</f>
        <v>0.18416799999999989</v>
      </c>
    </row>
    <row r="71" spans="1:16" x14ac:dyDescent="0.35">
      <c r="A71">
        <v>187</v>
      </c>
      <c r="B71">
        <v>1.3811199999999999</v>
      </c>
      <c r="C71">
        <v>185</v>
      </c>
      <c r="D71">
        <v>1.37965</v>
      </c>
      <c r="E71">
        <v>180</v>
      </c>
      <c r="F71">
        <v>1.3765810000000001</v>
      </c>
      <c r="G71" s="8">
        <f t="shared" si="5"/>
        <v>0.18193999999999999</v>
      </c>
      <c r="H71" s="8">
        <f t="shared" si="4"/>
        <v>2982</v>
      </c>
      <c r="I71" s="8"/>
      <c r="J71" s="8"/>
      <c r="K71" s="8">
        <v>984242.14571428497</v>
      </c>
      <c r="M71">
        <v>1.37965</v>
      </c>
      <c r="N71">
        <f t="shared" si="6"/>
        <v>0.18479200000000007</v>
      </c>
      <c r="O71">
        <v>1.3765810000000001</v>
      </c>
      <c r="P71">
        <f t="shared" si="7"/>
        <v>0.18663799999999986</v>
      </c>
    </row>
    <row r="72" spans="1:16" x14ac:dyDescent="0.35">
      <c r="A72">
        <v>186</v>
      </c>
      <c r="B72">
        <v>1.3780840000000001</v>
      </c>
      <c r="C72">
        <v>184</v>
      </c>
      <c r="D72">
        <v>1.3766350000000001</v>
      </c>
      <c r="E72" s="5">
        <v>179</v>
      </c>
      <c r="F72">
        <v>1.3735139999999999</v>
      </c>
      <c r="G72" s="8">
        <f t="shared" si="5"/>
        <v>0.18497599999999981</v>
      </c>
      <c r="H72" s="8">
        <f t="shared" si="4"/>
        <v>3032</v>
      </c>
      <c r="I72" s="8"/>
      <c r="J72" s="8"/>
      <c r="K72" s="8">
        <v>1000134.9128571399</v>
      </c>
      <c r="M72">
        <v>1.3766350000000001</v>
      </c>
      <c r="N72">
        <f t="shared" si="6"/>
        <v>0.18780700000000006</v>
      </c>
      <c r="O72">
        <v>1.3735139999999999</v>
      </c>
      <c r="P72">
        <f t="shared" si="7"/>
        <v>0.18970500000000001</v>
      </c>
    </row>
    <row r="73" spans="1:16" x14ac:dyDescent="0.35">
      <c r="A73">
        <v>185</v>
      </c>
      <c r="B73">
        <v>1.376525</v>
      </c>
      <c r="C73">
        <v>183</v>
      </c>
      <c r="D73">
        <v>1.3748450000000001</v>
      </c>
      <c r="E73">
        <v>178</v>
      </c>
      <c r="F73">
        <v>1.3707659999999999</v>
      </c>
      <c r="G73" s="8">
        <f t="shared" si="5"/>
        <v>0.1865349999999999</v>
      </c>
      <c r="H73" s="8">
        <f t="shared" si="4"/>
        <v>3057</v>
      </c>
      <c r="I73" s="8">
        <v>36</v>
      </c>
      <c r="J73" s="8">
        <v>1016027.68</v>
      </c>
      <c r="K73" s="8">
        <v>1016027.68</v>
      </c>
      <c r="M73">
        <v>1.3748450000000001</v>
      </c>
      <c r="N73">
        <f t="shared" si="6"/>
        <v>0.18959700000000002</v>
      </c>
      <c r="O73">
        <v>1.3707659999999999</v>
      </c>
      <c r="P73">
        <f t="shared" si="7"/>
        <v>0.19245299999999999</v>
      </c>
    </row>
    <row r="74" spans="1:16" x14ac:dyDescent="0.35">
      <c r="A74">
        <v>184</v>
      </c>
      <c r="B74">
        <v>1.3735040000000001</v>
      </c>
      <c r="C74">
        <v>182</v>
      </c>
      <c r="D74">
        <v>1.3719710000000001</v>
      </c>
      <c r="E74">
        <v>177</v>
      </c>
      <c r="F74">
        <v>1.368123</v>
      </c>
      <c r="G74" s="8">
        <f t="shared" si="5"/>
        <v>0.18955599999999984</v>
      </c>
      <c r="H74" s="8">
        <f t="shared" si="4"/>
        <v>3107</v>
      </c>
      <c r="I74" s="8"/>
      <c r="J74" s="8"/>
      <c r="K74" s="8">
        <v>1028516.46444444</v>
      </c>
      <c r="M74">
        <v>1.3719710000000001</v>
      </c>
      <c r="N74">
        <f t="shared" si="6"/>
        <v>0.19247100000000006</v>
      </c>
      <c r="O74">
        <v>1.368123</v>
      </c>
      <c r="P74">
        <f t="shared" si="7"/>
        <v>0.19509599999999994</v>
      </c>
    </row>
    <row r="75" spans="1:16" x14ac:dyDescent="0.35">
      <c r="A75">
        <v>183</v>
      </c>
      <c r="B75">
        <v>1.370913</v>
      </c>
      <c r="C75">
        <v>181</v>
      </c>
      <c r="D75">
        <v>1.3694489999999999</v>
      </c>
      <c r="E75">
        <v>176</v>
      </c>
      <c r="F75">
        <v>1.3653519999999999</v>
      </c>
      <c r="G75" s="8">
        <f t="shared" si="5"/>
        <v>0.19214699999999985</v>
      </c>
      <c r="H75" s="8">
        <f t="shared" si="4"/>
        <v>3149</v>
      </c>
      <c r="I75" s="8"/>
      <c r="J75" s="8"/>
      <c r="K75" s="8">
        <v>1041005.24888888</v>
      </c>
      <c r="M75">
        <v>1.3694489999999999</v>
      </c>
      <c r="N75">
        <f t="shared" si="6"/>
        <v>0.19499300000000019</v>
      </c>
      <c r="O75">
        <v>1.3653519999999999</v>
      </c>
      <c r="P75">
        <f t="shared" si="7"/>
        <v>0.19786700000000002</v>
      </c>
    </row>
    <row r="76" spans="1:16" x14ac:dyDescent="0.35">
      <c r="A76">
        <v>182</v>
      </c>
      <c r="B76">
        <v>1.367963</v>
      </c>
      <c r="C76">
        <v>180</v>
      </c>
      <c r="D76">
        <v>1.3665510000000001</v>
      </c>
      <c r="E76">
        <v>175</v>
      </c>
      <c r="F76">
        <v>1.3610199999999999</v>
      </c>
      <c r="G76" s="8">
        <f t="shared" si="5"/>
        <v>0.19509699999999985</v>
      </c>
      <c r="H76" s="8">
        <f t="shared" si="4"/>
        <v>3198</v>
      </c>
      <c r="I76" s="8"/>
      <c r="J76" s="8"/>
      <c r="K76" s="8">
        <v>1053494.0333333299</v>
      </c>
      <c r="M76">
        <v>1.3665510000000001</v>
      </c>
      <c r="N76">
        <f t="shared" si="6"/>
        <v>0.19789100000000004</v>
      </c>
      <c r="O76">
        <v>1.3610199999999999</v>
      </c>
      <c r="P76">
        <f t="shared" si="7"/>
        <v>0.20219900000000002</v>
      </c>
    </row>
    <row r="77" spans="1:16" x14ac:dyDescent="0.35">
      <c r="A77">
        <v>181</v>
      </c>
      <c r="B77">
        <v>1.3660570000000001</v>
      </c>
      <c r="C77">
        <v>179</v>
      </c>
      <c r="D77">
        <v>1.363272</v>
      </c>
      <c r="E77">
        <v>174</v>
      </c>
      <c r="F77">
        <v>1.358363</v>
      </c>
      <c r="G77" s="8">
        <f t="shared" si="5"/>
        <v>0.19700299999999982</v>
      </c>
      <c r="H77" s="8">
        <f t="shared" si="4"/>
        <v>3229</v>
      </c>
      <c r="I77" s="8"/>
      <c r="J77" s="8"/>
      <c r="K77" s="8">
        <v>1065982.8177777701</v>
      </c>
      <c r="M77">
        <v>1.363272</v>
      </c>
      <c r="N77">
        <f t="shared" si="6"/>
        <v>0.20117000000000007</v>
      </c>
      <c r="O77">
        <v>1.358363</v>
      </c>
      <c r="P77">
        <f t="shared" si="7"/>
        <v>0.20485599999999993</v>
      </c>
    </row>
    <row r="78" spans="1:16" x14ac:dyDescent="0.35">
      <c r="A78">
        <v>180</v>
      </c>
      <c r="B78">
        <v>1.3632379999999999</v>
      </c>
      <c r="C78">
        <v>178</v>
      </c>
      <c r="D78">
        <v>1.3602669999999999</v>
      </c>
      <c r="E78">
        <v>173</v>
      </c>
      <c r="F78">
        <v>1.3555459999999999</v>
      </c>
      <c r="G78" s="8">
        <f t="shared" si="5"/>
        <v>0.19982199999999994</v>
      </c>
      <c r="H78" s="8">
        <f t="shared" si="4"/>
        <v>3275</v>
      </c>
      <c r="I78" s="8"/>
      <c r="J78" s="8"/>
      <c r="K78" s="8">
        <v>1078471.60222222</v>
      </c>
      <c r="M78">
        <v>1.3602669999999999</v>
      </c>
      <c r="N78">
        <f t="shared" si="6"/>
        <v>0.20417500000000022</v>
      </c>
      <c r="O78">
        <v>1.3555459999999999</v>
      </c>
      <c r="P78">
        <f t="shared" si="7"/>
        <v>0.207673</v>
      </c>
    </row>
    <row r="79" spans="1:16" x14ac:dyDescent="0.35">
      <c r="A79">
        <v>179</v>
      </c>
      <c r="B79">
        <v>1.359594</v>
      </c>
      <c r="C79">
        <v>177</v>
      </c>
      <c r="D79">
        <v>1.35798</v>
      </c>
      <c r="E79">
        <v>172</v>
      </c>
      <c r="F79">
        <v>1.3530850000000001</v>
      </c>
      <c r="G79" s="8">
        <f t="shared" si="5"/>
        <v>0.20346599999999992</v>
      </c>
      <c r="H79" s="8">
        <f t="shared" si="4"/>
        <v>3335</v>
      </c>
      <c r="I79" s="8"/>
      <c r="J79" s="8"/>
      <c r="K79" s="8">
        <v>1090960.38666666</v>
      </c>
      <c r="M79">
        <v>1.35798</v>
      </c>
      <c r="N79">
        <f t="shared" si="6"/>
        <v>0.20646200000000015</v>
      </c>
      <c r="O79">
        <v>1.3530850000000001</v>
      </c>
      <c r="P79">
        <f t="shared" si="7"/>
        <v>0.21013399999999982</v>
      </c>
    </row>
    <row r="80" spans="1:16" x14ac:dyDescent="0.35">
      <c r="A80">
        <v>178</v>
      </c>
      <c r="B80">
        <v>1.356525</v>
      </c>
      <c r="C80">
        <v>176</v>
      </c>
      <c r="D80">
        <v>1.3550409999999999</v>
      </c>
      <c r="E80">
        <v>171</v>
      </c>
      <c r="F80">
        <v>1.3502799999999999</v>
      </c>
      <c r="G80" s="8">
        <f t="shared" si="5"/>
        <v>0.20653499999999991</v>
      </c>
      <c r="H80" s="8">
        <f t="shared" si="4"/>
        <v>3385</v>
      </c>
      <c r="I80" s="8"/>
      <c r="J80" s="8"/>
      <c r="K80" s="8">
        <v>1103449.1711111099</v>
      </c>
      <c r="M80">
        <v>1.3550409999999999</v>
      </c>
      <c r="N80">
        <f t="shared" si="6"/>
        <v>0.20940100000000017</v>
      </c>
      <c r="O80">
        <v>1.3502799999999999</v>
      </c>
      <c r="P80">
        <f t="shared" si="7"/>
        <v>0.21293899999999999</v>
      </c>
    </row>
    <row r="81" spans="1:16" x14ac:dyDescent="0.35">
      <c r="A81">
        <v>177</v>
      </c>
      <c r="B81">
        <v>1.3548340000000001</v>
      </c>
      <c r="C81">
        <v>175</v>
      </c>
      <c r="D81">
        <v>1.3511340000000001</v>
      </c>
      <c r="E81">
        <v>170</v>
      </c>
      <c r="F81">
        <v>1.347337</v>
      </c>
      <c r="G81" s="8">
        <f t="shared" si="5"/>
        <v>0.2082259999999998</v>
      </c>
      <c r="H81" s="8">
        <f t="shared" si="4"/>
        <v>3413</v>
      </c>
      <c r="I81" s="8"/>
      <c r="J81" s="8"/>
      <c r="K81" s="8">
        <v>1115937.9555555501</v>
      </c>
      <c r="M81">
        <v>1.3511340000000001</v>
      </c>
      <c r="N81">
        <f t="shared" si="6"/>
        <v>0.21330800000000005</v>
      </c>
      <c r="O81">
        <v>1.347337</v>
      </c>
      <c r="P81">
        <f t="shared" si="7"/>
        <v>0.21588199999999991</v>
      </c>
    </row>
    <row r="82" spans="1:16" x14ac:dyDescent="0.35">
      <c r="A82">
        <v>176</v>
      </c>
      <c r="B82">
        <v>1.351709</v>
      </c>
      <c r="C82">
        <v>174</v>
      </c>
      <c r="D82">
        <v>1.3480399999999999</v>
      </c>
      <c r="E82">
        <v>169</v>
      </c>
      <c r="F82">
        <v>1.3447169999999999</v>
      </c>
      <c r="G82" s="8">
        <f t="shared" si="5"/>
        <v>0.21135099999999984</v>
      </c>
      <c r="H82" s="8">
        <f t="shared" si="4"/>
        <v>3464</v>
      </c>
      <c r="I82" s="8">
        <v>35.5</v>
      </c>
      <c r="J82" s="8">
        <v>1128426.74</v>
      </c>
      <c r="K82" s="8">
        <v>1128426.74</v>
      </c>
      <c r="M82">
        <v>1.3480399999999999</v>
      </c>
      <c r="N82">
        <f t="shared" si="6"/>
        <v>0.21640200000000021</v>
      </c>
      <c r="O82">
        <v>1.3447169999999999</v>
      </c>
      <c r="P82">
        <f t="shared" si="7"/>
        <v>0.21850199999999997</v>
      </c>
    </row>
    <row r="83" spans="1:16" x14ac:dyDescent="0.35">
      <c r="A83">
        <v>175</v>
      </c>
      <c r="B83">
        <v>1.3470139999999999</v>
      </c>
      <c r="C83">
        <v>173</v>
      </c>
      <c r="D83">
        <v>1.345804</v>
      </c>
      <c r="E83">
        <v>168</v>
      </c>
      <c r="F83">
        <v>1.34185</v>
      </c>
      <c r="G83" s="8">
        <f t="shared" si="5"/>
        <v>0.21604599999999996</v>
      </c>
      <c r="H83" s="8">
        <f t="shared" si="4"/>
        <v>3541</v>
      </c>
      <c r="I83" s="8"/>
      <c r="J83" s="8"/>
      <c r="K83" s="8">
        <v>1141034.9325000001</v>
      </c>
      <c r="M83">
        <v>1.345804</v>
      </c>
      <c r="N83">
        <f t="shared" si="6"/>
        <v>0.21863800000000011</v>
      </c>
      <c r="O83">
        <v>1.34185</v>
      </c>
      <c r="P83">
        <f t="shared" si="7"/>
        <v>0.22136899999999993</v>
      </c>
    </row>
    <row r="84" spans="1:16" x14ac:dyDescent="0.35">
      <c r="A84">
        <v>174</v>
      </c>
      <c r="B84">
        <v>1.3439700000000001</v>
      </c>
      <c r="C84">
        <v>172</v>
      </c>
      <c r="D84">
        <v>1.3427039999999999</v>
      </c>
      <c r="E84">
        <v>167</v>
      </c>
      <c r="F84">
        <v>1.336727</v>
      </c>
      <c r="G84" s="8">
        <f t="shared" si="5"/>
        <v>0.21908999999999978</v>
      </c>
      <c r="H84" s="8">
        <f t="shared" si="4"/>
        <v>3591</v>
      </c>
      <c r="I84" s="8"/>
      <c r="J84" s="8"/>
      <c r="K84" s="8">
        <v>1153643.125</v>
      </c>
      <c r="M84">
        <v>1.3427039999999999</v>
      </c>
      <c r="N84">
        <f t="shared" si="6"/>
        <v>0.22173800000000021</v>
      </c>
      <c r="O84">
        <v>1.336727</v>
      </c>
      <c r="P84">
        <f t="shared" si="7"/>
        <v>0.22649199999999992</v>
      </c>
    </row>
    <row r="85" spans="1:16" x14ac:dyDescent="0.35">
      <c r="A85">
        <v>173</v>
      </c>
      <c r="B85">
        <v>1.3420639999999999</v>
      </c>
      <c r="C85">
        <v>171</v>
      </c>
      <c r="D85">
        <v>1.3395330000000001</v>
      </c>
      <c r="E85">
        <v>166</v>
      </c>
      <c r="F85">
        <v>1.333963</v>
      </c>
      <c r="G85" s="8">
        <f t="shared" si="5"/>
        <v>0.22099599999999997</v>
      </c>
      <c r="H85" s="8">
        <f t="shared" si="4"/>
        <v>3622</v>
      </c>
      <c r="I85" s="8"/>
      <c r="J85" s="8"/>
      <c r="K85" s="8">
        <v>1166251.3174999999</v>
      </c>
      <c r="M85">
        <v>1.3395330000000001</v>
      </c>
      <c r="N85">
        <f t="shared" si="6"/>
        <v>0.22490900000000003</v>
      </c>
      <c r="O85">
        <v>1.333963</v>
      </c>
      <c r="P85">
        <f t="shared" si="7"/>
        <v>0.2292559999999999</v>
      </c>
    </row>
    <row r="86" spans="1:16" x14ac:dyDescent="0.35">
      <c r="A86">
        <v>172</v>
      </c>
      <c r="B86">
        <v>1.3392219999999999</v>
      </c>
      <c r="C86">
        <v>170</v>
      </c>
      <c r="D86">
        <v>1.33626</v>
      </c>
      <c r="E86">
        <v>165</v>
      </c>
      <c r="F86">
        <v>1.331305</v>
      </c>
      <c r="G86" s="8">
        <f t="shared" si="5"/>
        <v>0.22383799999999998</v>
      </c>
      <c r="H86" s="8">
        <f t="shared" si="4"/>
        <v>3669</v>
      </c>
      <c r="I86" s="8"/>
      <c r="J86" s="8"/>
      <c r="K86" s="8">
        <v>1178859.51</v>
      </c>
      <c r="M86">
        <v>1.33626</v>
      </c>
      <c r="N86">
        <f t="shared" si="6"/>
        <v>0.22818200000000011</v>
      </c>
      <c r="O86">
        <v>1.331305</v>
      </c>
      <c r="P86">
        <f t="shared" si="7"/>
        <v>0.23191399999999995</v>
      </c>
    </row>
    <row r="87" spans="1:16" x14ac:dyDescent="0.35">
      <c r="A87">
        <v>171</v>
      </c>
      <c r="B87">
        <v>1.3355090000000001</v>
      </c>
      <c r="C87">
        <v>169</v>
      </c>
      <c r="D87">
        <v>1.3338920000000001</v>
      </c>
      <c r="E87">
        <v>164</v>
      </c>
      <c r="F87">
        <v>1.3284940000000001</v>
      </c>
      <c r="G87" s="8">
        <f t="shared" si="5"/>
        <v>0.22755099999999984</v>
      </c>
      <c r="H87" s="8">
        <f t="shared" si="4"/>
        <v>3730</v>
      </c>
      <c r="I87" s="8"/>
      <c r="J87" s="8"/>
      <c r="K87" s="8">
        <v>1191467.7024999999</v>
      </c>
      <c r="M87">
        <v>1.3338920000000001</v>
      </c>
      <c r="N87">
        <f t="shared" si="6"/>
        <v>0.23055000000000003</v>
      </c>
      <c r="O87">
        <v>1.3284940000000001</v>
      </c>
      <c r="P87">
        <f t="shared" si="7"/>
        <v>0.23472499999999985</v>
      </c>
    </row>
    <row r="88" spans="1:16" x14ac:dyDescent="0.35">
      <c r="A88">
        <v>170</v>
      </c>
      <c r="B88">
        <v>1.3325830000000001</v>
      </c>
      <c r="C88">
        <v>168</v>
      </c>
      <c r="D88">
        <v>1.3309800000000001</v>
      </c>
      <c r="E88">
        <v>163</v>
      </c>
      <c r="F88">
        <v>1.3255710000000001</v>
      </c>
      <c r="G88" s="8">
        <f t="shared" si="5"/>
        <v>0.23047699999999982</v>
      </c>
      <c r="H88" s="8">
        <f t="shared" si="4"/>
        <v>3778</v>
      </c>
      <c r="I88" s="8"/>
      <c r="J88" s="8"/>
      <c r="K88" s="8">
        <v>1204075.895</v>
      </c>
      <c r="M88">
        <v>1.3309800000000001</v>
      </c>
      <c r="N88">
        <f t="shared" si="6"/>
        <v>0.23346200000000006</v>
      </c>
      <c r="O88">
        <v>1.3255710000000001</v>
      </c>
      <c r="P88">
        <f t="shared" si="7"/>
        <v>0.23764799999999986</v>
      </c>
    </row>
    <row r="89" spans="1:16" x14ac:dyDescent="0.35">
      <c r="A89">
        <v>169</v>
      </c>
      <c r="B89">
        <v>1.3308169999999999</v>
      </c>
      <c r="C89">
        <v>167</v>
      </c>
      <c r="D89">
        <v>1.3291040000000001</v>
      </c>
      <c r="E89">
        <v>162</v>
      </c>
      <c r="F89">
        <v>1.3226880000000001</v>
      </c>
      <c r="G89" s="8">
        <f t="shared" si="5"/>
        <v>0.23224299999999998</v>
      </c>
      <c r="H89" s="8">
        <f t="shared" si="4"/>
        <v>3807</v>
      </c>
      <c r="I89" s="8"/>
      <c r="J89" s="8"/>
      <c r="K89" s="8">
        <v>1216684.0874999999</v>
      </c>
      <c r="M89">
        <v>1.3291040000000001</v>
      </c>
      <c r="N89">
        <f t="shared" si="6"/>
        <v>0.23533800000000005</v>
      </c>
      <c r="O89">
        <v>1.3226880000000001</v>
      </c>
      <c r="P89">
        <f t="shared" si="7"/>
        <v>0.24053099999999983</v>
      </c>
    </row>
    <row r="90" spans="1:16" x14ac:dyDescent="0.35">
      <c r="A90">
        <v>168</v>
      </c>
      <c r="B90">
        <v>1.3276410000000001</v>
      </c>
      <c r="C90">
        <v>166</v>
      </c>
      <c r="D90">
        <v>1.326092</v>
      </c>
      <c r="E90">
        <v>161</v>
      </c>
      <c r="F90">
        <v>1.3201259999999999</v>
      </c>
      <c r="G90" s="8">
        <f t="shared" si="5"/>
        <v>0.23541899999999982</v>
      </c>
      <c r="H90" s="8">
        <f t="shared" si="4"/>
        <v>3859</v>
      </c>
      <c r="I90" s="8">
        <v>35</v>
      </c>
      <c r="J90" s="8">
        <v>1229292.28</v>
      </c>
      <c r="K90" s="8">
        <v>1229292.28</v>
      </c>
      <c r="M90">
        <v>1.326092</v>
      </c>
      <c r="N90">
        <f t="shared" si="6"/>
        <v>0.23835000000000006</v>
      </c>
      <c r="O90">
        <v>1.3201259999999999</v>
      </c>
      <c r="P90">
        <f t="shared" si="7"/>
        <v>0.243093</v>
      </c>
    </row>
    <row r="91" spans="1:16" x14ac:dyDescent="0.35">
      <c r="A91">
        <v>167</v>
      </c>
      <c r="B91">
        <v>1.3251390000000001</v>
      </c>
      <c r="C91">
        <v>165</v>
      </c>
      <c r="D91">
        <v>1.32372</v>
      </c>
      <c r="E91">
        <v>160</v>
      </c>
      <c r="F91">
        <v>1.317348</v>
      </c>
      <c r="G91" s="8">
        <f t="shared" si="5"/>
        <v>0.23792099999999983</v>
      </c>
      <c r="H91" s="8">
        <f t="shared" si="4"/>
        <v>3900</v>
      </c>
      <c r="I91" s="8"/>
      <c r="J91" s="8"/>
      <c r="K91" s="8">
        <v>1247007.52</v>
      </c>
      <c r="M91">
        <v>1.32372</v>
      </c>
      <c r="N91">
        <f t="shared" si="6"/>
        <v>0.2407220000000001</v>
      </c>
      <c r="O91">
        <v>1.317348</v>
      </c>
      <c r="P91">
        <f t="shared" si="7"/>
        <v>0.24587099999999995</v>
      </c>
    </row>
    <row r="92" spans="1:16" x14ac:dyDescent="0.35">
      <c r="A92">
        <v>166</v>
      </c>
      <c r="B92">
        <v>1.32216</v>
      </c>
      <c r="C92">
        <v>164</v>
      </c>
      <c r="D92">
        <v>1.320721</v>
      </c>
      <c r="E92">
        <v>159</v>
      </c>
      <c r="F92">
        <v>1.316279</v>
      </c>
      <c r="G92" s="8">
        <f t="shared" si="5"/>
        <v>0.24089999999999989</v>
      </c>
      <c r="H92" s="8">
        <f t="shared" si="4"/>
        <v>3949</v>
      </c>
      <c r="I92" s="8"/>
      <c r="J92" s="8"/>
      <c r="K92" s="8">
        <v>1264722.76</v>
      </c>
      <c r="M92">
        <v>1.320721</v>
      </c>
      <c r="N92">
        <f t="shared" si="6"/>
        <v>0.24372100000000008</v>
      </c>
      <c r="O92">
        <v>1.316279</v>
      </c>
      <c r="P92">
        <f t="shared" si="7"/>
        <v>0.24693999999999994</v>
      </c>
    </row>
    <row r="93" spans="1:16" x14ac:dyDescent="0.35">
      <c r="A93">
        <v>165</v>
      </c>
      <c r="B93">
        <v>1.320319</v>
      </c>
      <c r="C93">
        <v>163</v>
      </c>
      <c r="D93">
        <v>1.3172010000000001</v>
      </c>
      <c r="E93">
        <v>158</v>
      </c>
      <c r="F93">
        <v>1.3133030000000001</v>
      </c>
      <c r="G93" s="8">
        <f t="shared" si="5"/>
        <v>0.24274099999999987</v>
      </c>
      <c r="H93" s="8">
        <f t="shared" si="4"/>
        <v>3979</v>
      </c>
      <c r="I93" s="8"/>
      <c r="J93" s="8"/>
      <c r="K93" s="8">
        <v>1282438</v>
      </c>
      <c r="M93">
        <v>1.3172010000000001</v>
      </c>
      <c r="N93">
        <f t="shared" si="6"/>
        <v>0.24724100000000004</v>
      </c>
      <c r="O93">
        <v>1.3133030000000001</v>
      </c>
      <c r="P93">
        <f t="shared" si="7"/>
        <v>0.2499159999999998</v>
      </c>
    </row>
    <row r="94" spans="1:16" x14ac:dyDescent="0.35">
      <c r="A94">
        <v>164</v>
      </c>
      <c r="B94">
        <v>1.317159</v>
      </c>
      <c r="C94">
        <v>162</v>
      </c>
      <c r="D94">
        <v>1.3142119999999999</v>
      </c>
      <c r="E94">
        <v>157</v>
      </c>
      <c r="F94">
        <v>1.310643</v>
      </c>
      <c r="G94" s="8">
        <f t="shared" si="5"/>
        <v>0.24590099999999993</v>
      </c>
      <c r="H94" s="8">
        <f t="shared" si="4"/>
        <v>4031</v>
      </c>
      <c r="I94" s="8"/>
      <c r="J94" s="8"/>
      <c r="K94" s="8">
        <v>1300153.24</v>
      </c>
      <c r="M94">
        <v>1.3142119999999999</v>
      </c>
      <c r="N94">
        <f t="shared" si="6"/>
        <v>0.25023000000000017</v>
      </c>
      <c r="O94">
        <v>1.310643</v>
      </c>
      <c r="P94">
        <f t="shared" si="7"/>
        <v>0.25257599999999991</v>
      </c>
    </row>
    <row r="95" spans="1:16" x14ac:dyDescent="0.35">
      <c r="A95">
        <v>163</v>
      </c>
      <c r="B95">
        <v>1.3137490000000001</v>
      </c>
      <c r="C95">
        <v>161</v>
      </c>
      <c r="D95">
        <v>1.311895</v>
      </c>
      <c r="E95">
        <v>156</v>
      </c>
      <c r="F95">
        <v>1.3080069999999999</v>
      </c>
      <c r="G95" s="8">
        <f t="shared" si="5"/>
        <v>0.24931099999999984</v>
      </c>
      <c r="H95" s="8">
        <f t="shared" si="4"/>
        <v>4087</v>
      </c>
      <c r="I95" s="8"/>
      <c r="J95" s="8"/>
      <c r="K95" s="8">
        <v>1317868.48</v>
      </c>
      <c r="M95">
        <v>1.311895</v>
      </c>
      <c r="N95">
        <f t="shared" si="6"/>
        <v>0.25254700000000008</v>
      </c>
      <c r="O95">
        <v>1.3080069999999999</v>
      </c>
      <c r="P95">
        <f t="shared" si="7"/>
        <v>0.25521199999999999</v>
      </c>
    </row>
    <row r="96" spans="1:16" x14ac:dyDescent="0.35">
      <c r="A96">
        <v>162</v>
      </c>
      <c r="B96">
        <v>1.31047</v>
      </c>
      <c r="C96">
        <v>160</v>
      </c>
      <c r="D96">
        <v>1.308827</v>
      </c>
      <c r="E96">
        <v>155</v>
      </c>
      <c r="F96">
        <v>1.3050759999999999</v>
      </c>
      <c r="G96" s="8">
        <f t="shared" si="5"/>
        <v>0.25258999999999987</v>
      </c>
      <c r="H96" s="8">
        <f t="shared" si="4"/>
        <v>4140</v>
      </c>
      <c r="I96" s="8">
        <v>34.5</v>
      </c>
      <c r="J96" s="8">
        <v>1335583.72</v>
      </c>
      <c r="K96" s="8">
        <v>1335583.72</v>
      </c>
      <c r="M96">
        <v>1.308827</v>
      </c>
      <c r="N96">
        <f t="shared" si="6"/>
        <v>0.25561500000000015</v>
      </c>
      <c r="O96">
        <v>1.3050759999999999</v>
      </c>
      <c r="P96">
        <f t="shared" si="7"/>
        <v>0.25814300000000001</v>
      </c>
    </row>
    <row r="97" spans="1:16" x14ac:dyDescent="0.35">
      <c r="A97">
        <v>161</v>
      </c>
      <c r="B97">
        <v>1.3086610000000001</v>
      </c>
      <c r="C97">
        <v>159</v>
      </c>
      <c r="D97">
        <v>1.3033330000000001</v>
      </c>
      <c r="E97">
        <v>154</v>
      </c>
      <c r="F97">
        <v>1.302222</v>
      </c>
      <c r="G97" s="8">
        <f t="shared" si="5"/>
        <v>0.25439899999999982</v>
      </c>
      <c r="H97" s="8">
        <f t="shared" si="4"/>
        <v>4170</v>
      </c>
      <c r="I97" s="8"/>
      <c r="J97" s="8"/>
      <c r="K97" s="8">
        <v>1351534.3883333299</v>
      </c>
      <c r="M97">
        <v>1.3033330000000001</v>
      </c>
      <c r="N97">
        <f t="shared" si="6"/>
        <v>0.26110900000000004</v>
      </c>
      <c r="O97">
        <v>1.302222</v>
      </c>
      <c r="P97">
        <f t="shared" si="7"/>
        <v>0.26099699999999992</v>
      </c>
    </row>
    <row r="98" spans="1:16" x14ac:dyDescent="0.35">
      <c r="A98">
        <v>160</v>
      </c>
      <c r="B98">
        <v>1.3056380000000001</v>
      </c>
      <c r="C98">
        <v>158</v>
      </c>
      <c r="D98">
        <v>1.3005</v>
      </c>
      <c r="E98">
        <v>153</v>
      </c>
      <c r="F98">
        <v>1.299661</v>
      </c>
      <c r="G98" s="8">
        <f t="shared" si="5"/>
        <v>0.25742199999999982</v>
      </c>
      <c r="H98" s="8">
        <f t="shared" si="4"/>
        <v>4220</v>
      </c>
      <c r="I98" s="8"/>
      <c r="J98" s="8"/>
      <c r="K98" s="8">
        <v>1367485.0566666599</v>
      </c>
      <c r="M98">
        <v>1.3005</v>
      </c>
      <c r="N98">
        <f t="shared" si="6"/>
        <v>0.26394200000000012</v>
      </c>
      <c r="O98">
        <v>1.299661</v>
      </c>
      <c r="P98">
        <f t="shared" si="7"/>
        <v>0.26355799999999996</v>
      </c>
    </row>
    <row r="99" spans="1:16" x14ac:dyDescent="0.35">
      <c r="A99">
        <v>159</v>
      </c>
      <c r="B99">
        <v>1.3032379999999999</v>
      </c>
      <c r="C99">
        <v>157</v>
      </c>
      <c r="D99">
        <v>1.2979959999999999</v>
      </c>
      <c r="E99">
        <v>152</v>
      </c>
      <c r="F99">
        <v>1.296786</v>
      </c>
      <c r="G99" s="8">
        <f t="shared" si="5"/>
        <v>0.259822</v>
      </c>
      <c r="H99" s="8">
        <f t="shared" si="4"/>
        <v>4259</v>
      </c>
      <c r="I99" s="8"/>
      <c r="J99" s="8"/>
      <c r="K99" s="8">
        <v>1383435.7250000001</v>
      </c>
      <c r="M99">
        <v>1.2979959999999999</v>
      </c>
      <c r="N99">
        <f t="shared" si="6"/>
        <v>0.26644600000000018</v>
      </c>
      <c r="O99">
        <v>1.296786</v>
      </c>
      <c r="P99">
        <f t="shared" si="7"/>
        <v>0.26643299999999992</v>
      </c>
    </row>
    <row r="100" spans="1:16" x14ac:dyDescent="0.35">
      <c r="A100">
        <v>158</v>
      </c>
      <c r="B100">
        <v>1.3001799999999999</v>
      </c>
      <c r="C100">
        <v>156</v>
      </c>
      <c r="D100">
        <v>1.294869</v>
      </c>
      <c r="E100">
        <v>151</v>
      </c>
      <c r="F100">
        <v>1.29145</v>
      </c>
      <c r="G100" s="8">
        <f t="shared" si="5"/>
        <v>0.26288</v>
      </c>
      <c r="H100" s="8">
        <f t="shared" si="4"/>
        <v>4309</v>
      </c>
      <c r="I100" s="8"/>
      <c r="J100" s="8"/>
      <c r="K100" s="8">
        <v>1399386.3933333301</v>
      </c>
      <c r="M100">
        <v>1.294869</v>
      </c>
      <c r="N100">
        <f t="shared" si="6"/>
        <v>0.26957300000000006</v>
      </c>
      <c r="O100">
        <v>1.29145</v>
      </c>
      <c r="P100">
        <f t="shared" si="7"/>
        <v>0.27176899999999993</v>
      </c>
    </row>
    <row r="101" spans="1:16" x14ac:dyDescent="0.35">
      <c r="A101">
        <v>157</v>
      </c>
      <c r="B101">
        <v>1.298298</v>
      </c>
      <c r="C101">
        <v>155</v>
      </c>
      <c r="D101">
        <v>1.291452</v>
      </c>
      <c r="E101">
        <v>150</v>
      </c>
      <c r="F101">
        <v>1.2886329999999999</v>
      </c>
      <c r="G101" s="8">
        <f t="shared" si="5"/>
        <v>0.26476199999999994</v>
      </c>
      <c r="H101" s="8">
        <f t="shared" si="4"/>
        <v>4340</v>
      </c>
      <c r="I101" s="8"/>
      <c r="J101" s="8"/>
      <c r="K101" s="8">
        <v>1415337.06166666</v>
      </c>
      <c r="M101">
        <v>1.291452</v>
      </c>
      <c r="N101">
        <f t="shared" si="6"/>
        <v>0.27299000000000007</v>
      </c>
      <c r="O101">
        <v>1.2886329999999999</v>
      </c>
      <c r="P101">
        <f t="shared" si="7"/>
        <v>0.274586</v>
      </c>
    </row>
    <row r="102" spans="1:16" x14ac:dyDescent="0.35">
      <c r="A102">
        <v>156</v>
      </c>
      <c r="B102">
        <v>1.2951509999999999</v>
      </c>
      <c r="C102">
        <v>154</v>
      </c>
      <c r="D102">
        <v>1.288683</v>
      </c>
      <c r="E102">
        <v>149</v>
      </c>
      <c r="F102">
        <v>1.286068</v>
      </c>
      <c r="G102" s="8">
        <f t="shared" si="5"/>
        <v>0.26790899999999995</v>
      </c>
      <c r="H102" s="8">
        <f t="shared" si="4"/>
        <v>4391</v>
      </c>
      <c r="I102" s="8">
        <v>34</v>
      </c>
      <c r="J102" s="8">
        <v>1431287.73</v>
      </c>
      <c r="K102" s="8">
        <v>1431287.73</v>
      </c>
      <c r="M102">
        <v>1.288683</v>
      </c>
      <c r="N102">
        <f t="shared" si="6"/>
        <v>0.27575900000000009</v>
      </c>
      <c r="O102">
        <v>1.286068</v>
      </c>
      <c r="P102">
        <f t="shared" si="7"/>
        <v>0.27715099999999993</v>
      </c>
    </row>
    <row r="103" spans="1:16" x14ac:dyDescent="0.35">
      <c r="A103">
        <v>155</v>
      </c>
      <c r="B103">
        <v>1.2917179999999999</v>
      </c>
      <c r="C103">
        <v>153</v>
      </c>
      <c r="D103">
        <v>1.286108</v>
      </c>
      <c r="E103">
        <v>148</v>
      </c>
      <c r="F103">
        <v>1.2832170000000001</v>
      </c>
      <c r="G103" s="8">
        <f t="shared" si="5"/>
        <v>0.27134199999999997</v>
      </c>
      <c r="H103" s="8">
        <f t="shared" si="4"/>
        <v>4448</v>
      </c>
      <c r="I103" s="8"/>
      <c r="J103" s="8"/>
      <c r="K103" s="8">
        <v>1447490.7450000001</v>
      </c>
      <c r="M103">
        <v>1.286108</v>
      </c>
      <c r="N103">
        <f t="shared" si="6"/>
        <v>0.27833400000000008</v>
      </c>
      <c r="O103">
        <v>1.2832170000000001</v>
      </c>
      <c r="P103">
        <f t="shared" si="7"/>
        <v>0.28000199999999986</v>
      </c>
    </row>
    <row r="104" spans="1:16" x14ac:dyDescent="0.35">
      <c r="A104">
        <v>154</v>
      </c>
      <c r="B104">
        <v>1.2885260000000001</v>
      </c>
      <c r="C104">
        <v>152</v>
      </c>
      <c r="D104">
        <v>1.2832159999999999</v>
      </c>
      <c r="E104">
        <v>147</v>
      </c>
      <c r="F104">
        <v>1.2803610000000001</v>
      </c>
      <c r="G104" s="8">
        <f t="shared" si="5"/>
        <v>0.27453399999999983</v>
      </c>
      <c r="H104" s="8">
        <f t="shared" si="4"/>
        <v>4500</v>
      </c>
      <c r="I104" s="8"/>
      <c r="J104" s="8"/>
      <c r="K104" s="8">
        <v>1463693.76</v>
      </c>
      <c r="M104">
        <v>1.2832159999999999</v>
      </c>
      <c r="N104">
        <f t="shared" si="6"/>
        <v>0.2812260000000002</v>
      </c>
      <c r="O104">
        <v>1.2803610000000001</v>
      </c>
      <c r="P104">
        <f t="shared" si="7"/>
        <v>0.28285799999999983</v>
      </c>
    </row>
    <row r="105" spans="1:16" x14ac:dyDescent="0.35">
      <c r="A105">
        <v>153</v>
      </c>
      <c r="B105">
        <v>1.286861</v>
      </c>
      <c r="C105">
        <v>151</v>
      </c>
      <c r="D105">
        <v>1.281131</v>
      </c>
      <c r="E105">
        <v>146</v>
      </c>
      <c r="F105">
        <v>1.277474</v>
      </c>
      <c r="G105" s="8">
        <f t="shared" si="5"/>
        <v>0.27619899999999986</v>
      </c>
      <c r="H105" s="8">
        <f t="shared" si="4"/>
        <v>4527</v>
      </c>
      <c r="I105" s="8"/>
      <c r="J105" s="8"/>
      <c r="K105" s="8">
        <v>1479896.7749999999</v>
      </c>
      <c r="M105">
        <v>1.281131</v>
      </c>
      <c r="N105">
        <f t="shared" si="6"/>
        <v>0.28331100000000009</v>
      </c>
      <c r="O105">
        <v>1.277474</v>
      </c>
      <c r="P105">
        <f t="shared" si="7"/>
        <v>0.28574499999999992</v>
      </c>
    </row>
    <row r="106" spans="1:16" x14ac:dyDescent="0.35">
      <c r="A106">
        <v>152</v>
      </c>
      <c r="B106">
        <v>1.2836510000000001</v>
      </c>
      <c r="C106">
        <v>150</v>
      </c>
      <c r="D106">
        <v>1.2782119999999999</v>
      </c>
      <c r="E106">
        <v>145</v>
      </c>
      <c r="F106">
        <v>1.2749170000000001</v>
      </c>
      <c r="G106" s="8">
        <f t="shared" si="5"/>
        <v>0.2794089999999998</v>
      </c>
      <c r="H106" s="8">
        <f t="shared" si="4"/>
        <v>4580</v>
      </c>
      <c r="I106" s="8"/>
      <c r="J106" s="8"/>
      <c r="K106" s="8">
        <v>1496099.79</v>
      </c>
      <c r="M106">
        <v>1.2782119999999999</v>
      </c>
      <c r="N106">
        <f t="shared" si="6"/>
        <v>0.28623000000000021</v>
      </c>
      <c r="O106">
        <v>1.2749170000000001</v>
      </c>
      <c r="P106">
        <f t="shared" si="7"/>
        <v>0.28830199999999984</v>
      </c>
    </row>
    <row r="107" spans="1:16" x14ac:dyDescent="0.35">
      <c r="A107">
        <v>151</v>
      </c>
      <c r="B107">
        <v>1.2810330000000001</v>
      </c>
      <c r="C107">
        <v>149</v>
      </c>
      <c r="D107">
        <v>1.2757780000000001</v>
      </c>
      <c r="E107">
        <v>144</v>
      </c>
      <c r="F107">
        <v>1.2718989999999999</v>
      </c>
      <c r="G107" s="8">
        <f t="shared" si="5"/>
        <v>0.28202699999999981</v>
      </c>
      <c r="H107" s="8">
        <f t="shared" si="4"/>
        <v>4623</v>
      </c>
      <c r="I107" s="8"/>
      <c r="J107" s="8"/>
      <c r="K107" s="8">
        <v>1512302.8049999999</v>
      </c>
      <c r="M107">
        <v>1.2757780000000001</v>
      </c>
      <c r="N107">
        <f t="shared" si="6"/>
        <v>0.28866400000000003</v>
      </c>
      <c r="O107">
        <v>1.2718989999999999</v>
      </c>
      <c r="P107">
        <f t="shared" si="7"/>
        <v>0.29132000000000002</v>
      </c>
    </row>
    <row r="108" spans="1:16" x14ac:dyDescent="0.35">
      <c r="A108">
        <v>150</v>
      </c>
      <c r="B108">
        <v>1.278189</v>
      </c>
      <c r="C108">
        <v>148</v>
      </c>
      <c r="D108">
        <v>1.2726690000000001</v>
      </c>
      <c r="E108">
        <v>143</v>
      </c>
      <c r="F108">
        <v>1.267641</v>
      </c>
      <c r="G108" s="8">
        <f t="shared" si="5"/>
        <v>0.28487099999999987</v>
      </c>
      <c r="H108" s="8">
        <f t="shared" si="4"/>
        <v>4670</v>
      </c>
      <c r="I108" s="8">
        <v>33.5</v>
      </c>
      <c r="J108" s="8">
        <v>1528505.82</v>
      </c>
      <c r="K108" s="8">
        <v>1528505.82</v>
      </c>
      <c r="M108">
        <v>1.2726690000000001</v>
      </c>
      <c r="N108">
        <f t="shared" si="6"/>
        <v>0.29177300000000006</v>
      </c>
      <c r="O108">
        <v>1.267641</v>
      </c>
      <c r="P108">
        <f t="shared" si="7"/>
        <v>0.2955779999999999</v>
      </c>
    </row>
    <row r="109" spans="1:16" x14ac:dyDescent="0.35">
      <c r="A109">
        <v>149</v>
      </c>
      <c r="B109">
        <v>1.2761</v>
      </c>
      <c r="C109">
        <v>147</v>
      </c>
      <c r="D109">
        <v>1.2694460000000001</v>
      </c>
      <c r="E109">
        <v>142</v>
      </c>
      <c r="F109">
        <v>1.2648239999999999</v>
      </c>
      <c r="G109" s="8">
        <f t="shared" si="5"/>
        <v>0.28695999999999988</v>
      </c>
      <c r="H109" s="8">
        <f t="shared" si="4"/>
        <v>4704</v>
      </c>
      <c r="I109" s="8"/>
      <c r="J109" s="8"/>
      <c r="K109" s="8">
        <v>1541562.0114285699</v>
      </c>
      <c r="M109">
        <v>1.2694460000000001</v>
      </c>
      <c r="N109">
        <f t="shared" si="6"/>
        <v>0.29499600000000004</v>
      </c>
      <c r="O109">
        <v>1.2648239999999999</v>
      </c>
      <c r="P109">
        <f t="shared" si="7"/>
        <v>0.29839499999999997</v>
      </c>
    </row>
    <row r="110" spans="1:16" x14ac:dyDescent="0.35">
      <c r="A110">
        <v>148</v>
      </c>
      <c r="B110">
        <v>1.2730999999999999</v>
      </c>
      <c r="C110">
        <v>146</v>
      </c>
      <c r="D110">
        <v>1.2663450000000001</v>
      </c>
      <c r="E110">
        <v>141</v>
      </c>
      <c r="F110">
        <v>1.262095</v>
      </c>
      <c r="G110" s="8">
        <f t="shared" si="5"/>
        <v>0.28996</v>
      </c>
      <c r="H110" s="8">
        <f t="shared" si="4"/>
        <v>4753</v>
      </c>
      <c r="I110" s="8"/>
      <c r="J110" s="8"/>
      <c r="K110" s="8">
        <v>1554618.20285714</v>
      </c>
      <c r="M110">
        <v>1.2663450000000001</v>
      </c>
      <c r="N110">
        <f t="shared" si="6"/>
        <v>0.29809700000000006</v>
      </c>
      <c r="O110">
        <v>1.262095</v>
      </c>
      <c r="P110">
        <f t="shared" si="7"/>
        <v>0.30112399999999995</v>
      </c>
    </row>
    <row r="111" spans="1:16" x14ac:dyDescent="0.35">
      <c r="A111">
        <v>147</v>
      </c>
      <c r="B111">
        <v>1.269476</v>
      </c>
      <c r="C111">
        <v>145</v>
      </c>
      <c r="D111">
        <v>1.263871</v>
      </c>
      <c r="E111">
        <v>140</v>
      </c>
      <c r="F111">
        <v>1.2593110000000001</v>
      </c>
      <c r="G111" s="8">
        <f t="shared" si="5"/>
        <v>0.29358399999999985</v>
      </c>
      <c r="H111" s="8">
        <f t="shared" si="4"/>
        <v>4812</v>
      </c>
      <c r="I111" s="8"/>
      <c r="J111" s="8"/>
      <c r="K111" s="8">
        <v>1567674.3942857101</v>
      </c>
      <c r="M111">
        <v>1.263871</v>
      </c>
      <c r="N111">
        <f t="shared" si="6"/>
        <v>0.30057100000000014</v>
      </c>
      <c r="O111">
        <v>1.2593110000000001</v>
      </c>
      <c r="P111">
        <f t="shared" si="7"/>
        <v>0.30390799999999984</v>
      </c>
    </row>
    <row r="112" spans="1:16" x14ac:dyDescent="0.35">
      <c r="A112">
        <v>146</v>
      </c>
      <c r="B112">
        <v>1.2662910000000001</v>
      </c>
      <c r="C112">
        <v>144</v>
      </c>
      <c r="D112">
        <v>1.2609109999999999</v>
      </c>
      <c r="E112">
        <v>139</v>
      </c>
      <c r="F112">
        <v>1.2562709999999999</v>
      </c>
      <c r="G112" s="8">
        <f t="shared" si="5"/>
        <v>0.29676899999999984</v>
      </c>
      <c r="H112" s="8">
        <f t="shared" si="4"/>
        <v>4865</v>
      </c>
      <c r="I112" s="8"/>
      <c r="J112" s="8"/>
      <c r="K112" s="8">
        <v>1580730.5857142799</v>
      </c>
      <c r="M112">
        <v>1.2609109999999999</v>
      </c>
      <c r="N112">
        <f t="shared" si="6"/>
        <v>0.30353100000000022</v>
      </c>
      <c r="O112">
        <v>1.2562709999999999</v>
      </c>
      <c r="P112">
        <f t="shared" si="7"/>
        <v>0.306948</v>
      </c>
    </row>
    <row r="113" spans="1:16" x14ac:dyDescent="0.35">
      <c r="A113">
        <v>145</v>
      </c>
      <c r="B113">
        <v>1.2644789999999999</v>
      </c>
      <c r="C113">
        <v>143</v>
      </c>
      <c r="D113">
        <v>1.256912</v>
      </c>
      <c r="E113">
        <v>138</v>
      </c>
      <c r="F113">
        <v>1.2535369999999999</v>
      </c>
      <c r="G113" s="8">
        <f t="shared" si="5"/>
        <v>0.29858099999999999</v>
      </c>
      <c r="H113" s="8">
        <f t="shared" si="4"/>
        <v>4894</v>
      </c>
      <c r="I113" s="8"/>
      <c r="J113" s="8"/>
      <c r="K113" s="8">
        <v>1593786.77714285</v>
      </c>
      <c r="M113">
        <v>1.256912</v>
      </c>
      <c r="N113">
        <f t="shared" si="6"/>
        <v>0.30753000000000008</v>
      </c>
      <c r="O113">
        <v>1.2535369999999999</v>
      </c>
      <c r="P113">
        <f t="shared" si="7"/>
        <v>0.30968200000000001</v>
      </c>
    </row>
    <row r="114" spans="1:16" x14ac:dyDescent="0.35">
      <c r="A114">
        <v>144</v>
      </c>
      <c r="B114">
        <v>1.2614810000000001</v>
      </c>
      <c r="C114">
        <v>142</v>
      </c>
      <c r="D114">
        <v>1.2539279999999999</v>
      </c>
      <c r="E114">
        <v>137</v>
      </c>
      <c r="F114">
        <v>1.2509319999999999</v>
      </c>
      <c r="G114" s="8">
        <f t="shared" si="5"/>
        <v>0.30157899999999982</v>
      </c>
      <c r="H114" s="8">
        <f t="shared" si="4"/>
        <v>4943</v>
      </c>
      <c r="I114" s="8"/>
      <c r="J114" s="8"/>
      <c r="K114" s="8">
        <v>1606842.9685714201</v>
      </c>
      <c r="M114">
        <v>1.2539279999999999</v>
      </c>
      <c r="N114">
        <f t="shared" si="6"/>
        <v>0.31051400000000018</v>
      </c>
      <c r="O114">
        <v>1.2509319999999999</v>
      </c>
      <c r="P114">
        <f t="shared" si="7"/>
        <v>0.31228699999999998</v>
      </c>
    </row>
    <row r="115" spans="1:16" x14ac:dyDescent="0.35">
      <c r="A115">
        <v>143</v>
      </c>
      <c r="B115">
        <v>1.2566980000000001</v>
      </c>
      <c r="C115">
        <v>141</v>
      </c>
      <c r="D115">
        <v>1.2514130000000001</v>
      </c>
      <c r="E115">
        <v>136</v>
      </c>
      <c r="F115">
        <v>1.248073</v>
      </c>
      <c r="G115" s="8">
        <f t="shared" si="5"/>
        <v>0.3063619999999998</v>
      </c>
      <c r="H115" s="8">
        <f t="shared" si="4"/>
        <v>5022</v>
      </c>
      <c r="I115" s="8">
        <v>33</v>
      </c>
      <c r="J115" s="8">
        <v>1619899.16</v>
      </c>
      <c r="K115" s="8">
        <v>1619899.16</v>
      </c>
      <c r="M115">
        <v>1.2514130000000001</v>
      </c>
      <c r="N115">
        <f t="shared" si="6"/>
        <v>0.313029</v>
      </c>
      <c r="O115">
        <v>1.248073</v>
      </c>
      <c r="P115">
        <f t="shared" si="7"/>
        <v>0.31514599999999993</v>
      </c>
    </row>
    <row r="116" spans="1:16" x14ac:dyDescent="0.35">
      <c r="A116">
        <v>142</v>
      </c>
      <c r="B116">
        <v>1.2535769999999999</v>
      </c>
      <c r="C116">
        <v>140</v>
      </c>
      <c r="D116">
        <v>1.2484120000000001</v>
      </c>
      <c r="E116">
        <v>135</v>
      </c>
      <c r="F116">
        <v>1.2426109999999999</v>
      </c>
      <c r="G116" s="8">
        <f t="shared" si="5"/>
        <v>0.30948299999999995</v>
      </c>
      <c r="H116" s="8">
        <f t="shared" si="4"/>
        <v>5073</v>
      </c>
      <c r="I116" s="8"/>
      <c r="J116" s="8"/>
      <c r="K116" s="8">
        <v>1632967.98</v>
      </c>
      <c r="M116">
        <v>1.2484120000000001</v>
      </c>
      <c r="N116">
        <f t="shared" si="6"/>
        <v>0.31603000000000003</v>
      </c>
      <c r="O116">
        <v>1.2426109999999999</v>
      </c>
      <c r="P116">
        <f t="shared" si="7"/>
        <v>0.320608</v>
      </c>
    </row>
    <row r="117" spans="1:16" x14ac:dyDescent="0.35">
      <c r="A117">
        <v>141</v>
      </c>
      <c r="B117">
        <v>1.25177</v>
      </c>
      <c r="C117">
        <v>139</v>
      </c>
      <c r="D117">
        <v>1.245098</v>
      </c>
      <c r="E117">
        <v>134</v>
      </c>
      <c r="F117">
        <v>1.2398769999999999</v>
      </c>
      <c r="G117" s="8">
        <f t="shared" si="5"/>
        <v>0.31128999999999984</v>
      </c>
      <c r="H117" s="8">
        <f t="shared" si="4"/>
        <v>5103</v>
      </c>
      <c r="I117" s="8"/>
      <c r="J117" s="8"/>
      <c r="K117" s="8">
        <v>1646036.79999999</v>
      </c>
      <c r="M117">
        <v>1.245098</v>
      </c>
      <c r="N117">
        <f t="shared" si="6"/>
        <v>0.31934400000000007</v>
      </c>
      <c r="O117">
        <v>1.2398769999999999</v>
      </c>
      <c r="P117">
        <f t="shared" si="7"/>
        <v>0.32334200000000002</v>
      </c>
    </row>
    <row r="118" spans="1:16" x14ac:dyDescent="0.35">
      <c r="A118">
        <v>140</v>
      </c>
      <c r="B118">
        <v>1.248713</v>
      </c>
      <c r="C118">
        <v>138</v>
      </c>
      <c r="D118">
        <v>1.2419500000000001</v>
      </c>
      <c r="E118">
        <v>133</v>
      </c>
      <c r="F118">
        <v>1.237187</v>
      </c>
      <c r="G118" s="8">
        <f t="shared" si="5"/>
        <v>0.31434699999999993</v>
      </c>
      <c r="H118" s="8">
        <f t="shared" si="4"/>
        <v>5153</v>
      </c>
      <c r="I118" s="8"/>
      <c r="J118" s="8"/>
      <c r="K118" s="8">
        <v>1659105.6199999901</v>
      </c>
      <c r="M118">
        <v>1.2419500000000001</v>
      </c>
      <c r="N118">
        <f t="shared" si="6"/>
        <v>0.322492</v>
      </c>
      <c r="O118">
        <v>1.237187</v>
      </c>
      <c r="P118">
        <f t="shared" si="7"/>
        <v>0.32603199999999988</v>
      </c>
    </row>
    <row r="119" spans="1:16" x14ac:dyDescent="0.35">
      <c r="A119">
        <v>139</v>
      </c>
      <c r="B119">
        <v>1.2451890000000001</v>
      </c>
      <c r="C119">
        <v>137</v>
      </c>
      <c r="D119">
        <v>1.2394940000000001</v>
      </c>
      <c r="E119">
        <v>132</v>
      </c>
      <c r="F119">
        <v>1.2342900000000001</v>
      </c>
      <c r="G119" s="8">
        <f t="shared" si="5"/>
        <v>0.31787099999999979</v>
      </c>
      <c r="H119" s="8">
        <f t="shared" si="4"/>
        <v>5211</v>
      </c>
      <c r="I119" s="8"/>
      <c r="J119" s="8"/>
      <c r="K119" s="8">
        <v>1672174.44</v>
      </c>
      <c r="M119">
        <v>1.2394940000000001</v>
      </c>
      <c r="N119">
        <f t="shared" si="6"/>
        <v>0.32494800000000001</v>
      </c>
      <c r="O119">
        <v>1.2342900000000001</v>
      </c>
      <c r="P119">
        <f t="shared" si="7"/>
        <v>0.3289289999999998</v>
      </c>
    </row>
    <row r="120" spans="1:16" x14ac:dyDescent="0.35">
      <c r="A120">
        <v>138</v>
      </c>
      <c r="B120">
        <v>1.241859</v>
      </c>
      <c r="C120">
        <v>136</v>
      </c>
      <c r="D120">
        <v>1.2363150000000001</v>
      </c>
      <c r="E120">
        <v>131</v>
      </c>
      <c r="F120">
        <v>1.231279</v>
      </c>
      <c r="G120" s="8">
        <f t="shared" si="5"/>
        <v>0.32120099999999985</v>
      </c>
      <c r="H120" s="8">
        <f t="shared" si="4"/>
        <v>5265</v>
      </c>
      <c r="I120" s="8"/>
      <c r="J120" s="8"/>
      <c r="K120" s="8">
        <v>1685243.26</v>
      </c>
      <c r="M120">
        <v>1.2363150000000001</v>
      </c>
      <c r="N120">
        <f t="shared" si="6"/>
        <v>0.32812700000000006</v>
      </c>
      <c r="O120">
        <v>1.231279</v>
      </c>
      <c r="P120">
        <f t="shared" si="7"/>
        <v>0.3319399999999999</v>
      </c>
    </row>
    <row r="121" spans="1:16" x14ac:dyDescent="0.35">
      <c r="A121">
        <v>137</v>
      </c>
      <c r="B121">
        <v>1.240092</v>
      </c>
      <c r="C121">
        <v>135</v>
      </c>
      <c r="D121">
        <v>1.234588</v>
      </c>
      <c r="E121">
        <v>130</v>
      </c>
      <c r="F121">
        <v>1.228415</v>
      </c>
      <c r="G121" s="8">
        <f t="shared" si="5"/>
        <v>0.32296799999999992</v>
      </c>
      <c r="H121" s="8">
        <f t="shared" si="4"/>
        <v>5294</v>
      </c>
      <c r="I121" s="8"/>
      <c r="J121" s="8"/>
      <c r="K121" s="8">
        <v>1698312.0799999901</v>
      </c>
      <c r="M121">
        <v>1.234588</v>
      </c>
      <c r="N121">
        <f t="shared" si="6"/>
        <v>0.32985400000000009</v>
      </c>
      <c r="O121">
        <v>1.228415</v>
      </c>
      <c r="P121">
        <f t="shared" si="7"/>
        <v>0.33480399999999988</v>
      </c>
    </row>
    <row r="122" spans="1:16" x14ac:dyDescent="0.35">
      <c r="A122">
        <v>136</v>
      </c>
      <c r="B122">
        <v>1.23692</v>
      </c>
      <c r="C122">
        <v>134</v>
      </c>
      <c r="D122">
        <v>1.231482</v>
      </c>
      <c r="E122">
        <v>129</v>
      </c>
      <c r="F122">
        <v>1.2256370000000001</v>
      </c>
      <c r="G122" s="8">
        <f t="shared" si="5"/>
        <v>0.32613999999999987</v>
      </c>
      <c r="H122" s="8">
        <f t="shared" si="4"/>
        <v>5346</v>
      </c>
      <c r="I122" s="8">
        <v>32.5</v>
      </c>
      <c r="J122" s="8">
        <v>1711380.9</v>
      </c>
      <c r="K122" s="8">
        <v>1711380.9</v>
      </c>
      <c r="M122">
        <v>1.231482</v>
      </c>
      <c r="N122">
        <f t="shared" si="6"/>
        <v>0.33296000000000014</v>
      </c>
      <c r="O122">
        <v>1.2256370000000001</v>
      </c>
      <c r="P122">
        <f t="shared" si="7"/>
        <v>0.33758199999999983</v>
      </c>
    </row>
    <row r="123" spans="1:16" x14ac:dyDescent="0.35">
      <c r="A123">
        <v>135</v>
      </c>
      <c r="B123">
        <v>1.2343379999999999</v>
      </c>
      <c r="C123">
        <v>133</v>
      </c>
      <c r="D123">
        <v>1.2289859999999999</v>
      </c>
      <c r="E123">
        <v>128</v>
      </c>
      <c r="F123">
        <v>1.222874</v>
      </c>
      <c r="G123" s="8">
        <f t="shared" si="5"/>
        <v>0.32872199999999996</v>
      </c>
      <c r="H123" s="8">
        <f t="shared" si="4"/>
        <v>5388</v>
      </c>
      <c r="I123" s="8"/>
      <c r="J123" s="8"/>
      <c r="K123" s="8">
        <v>1722503.89</v>
      </c>
      <c r="M123">
        <v>1.2289859999999999</v>
      </c>
      <c r="N123">
        <f t="shared" si="6"/>
        <v>0.3354560000000002</v>
      </c>
      <c r="O123">
        <v>1.222874</v>
      </c>
      <c r="P123">
        <f t="shared" si="7"/>
        <v>0.3403449999999999</v>
      </c>
    </row>
    <row r="124" spans="1:16" x14ac:dyDescent="0.35">
      <c r="A124">
        <v>134</v>
      </c>
      <c r="B124">
        <v>1.2311879999999999</v>
      </c>
      <c r="C124">
        <v>132</v>
      </c>
      <c r="D124">
        <v>1.2258709999999999</v>
      </c>
      <c r="E124">
        <v>127</v>
      </c>
      <c r="F124">
        <v>1.2314259999999999</v>
      </c>
      <c r="G124" s="8">
        <f t="shared" si="5"/>
        <v>0.33187199999999994</v>
      </c>
      <c r="H124" s="8">
        <f t="shared" si="4"/>
        <v>5440</v>
      </c>
      <c r="I124" s="8"/>
      <c r="J124" s="8"/>
      <c r="K124" s="8">
        <v>1733626.8799999999</v>
      </c>
      <c r="M124">
        <v>1.2258709999999999</v>
      </c>
      <c r="N124">
        <f t="shared" si="6"/>
        <v>0.33857100000000018</v>
      </c>
      <c r="O124">
        <v>1.2314259999999999</v>
      </c>
      <c r="P124">
        <f t="shared" si="7"/>
        <v>0.331793</v>
      </c>
    </row>
    <row r="125" spans="1:16" x14ac:dyDescent="0.35">
      <c r="A125">
        <v>133</v>
      </c>
      <c r="B125">
        <v>1.229263</v>
      </c>
      <c r="C125">
        <v>131</v>
      </c>
      <c r="D125">
        <v>1.222429</v>
      </c>
      <c r="E125">
        <v>126</v>
      </c>
      <c r="F125">
        <v>1.2284470000000001</v>
      </c>
      <c r="G125" s="8">
        <f t="shared" si="5"/>
        <v>0.3337969999999999</v>
      </c>
      <c r="H125" s="8">
        <f t="shared" si="4"/>
        <v>5472</v>
      </c>
      <c r="I125" s="8"/>
      <c r="J125" s="8"/>
      <c r="K125" s="8">
        <v>1744749.8699999901</v>
      </c>
      <c r="M125">
        <v>1.222429</v>
      </c>
      <c r="N125">
        <f t="shared" si="6"/>
        <v>0.34201300000000012</v>
      </c>
      <c r="O125">
        <v>1.2284470000000001</v>
      </c>
      <c r="P125">
        <f t="shared" si="7"/>
        <v>0.33477199999999985</v>
      </c>
    </row>
    <row r="126" spans="1:16" x14ac:dyDescent="0.35">
      <c r="A126">
        <v>132</v>
      </c>
      <c r="B126">
        <v>1.226181</v>
      </c>
      <c r="C126">
        <v>130</v>
      </c>
      <c r="D126">
        <v>1.2194449999999999</v>
      </c>
      <c r="E126">
        <v>125</v>
      </c>
      <c r="F126">
        <v>1.2258290000000001</v>
      </c>
      <c r="G126" s="8">
        <f t="shared" si="5"/>
        <v>0.33687899999999993</v>
      </c>
      <c r="H126" s="8">
        <f t="shared" si="4"/>
        <v>5522</v>
      </c>
      <c r="I126" s="8"/>
      <c r="J126" s="8"/>
      <c r="K126" s="8">
        <v>1755872.8599999901</v>
      </c>
      <c r="M126">
        <v>1.2194449999999999</v>
      </c>
      <c r="N126">
        <f t="shared" si="6"/>
        <v>0.34499700000000022</v>
      </c>
      <c r="O126">
        <v>1.2258290000000001</v>
      </c>
      <c r="P126">
        <f t="shared" si="7"/>
        <v>0.33738999999999986</v>
      </c>
    </row>
    <row r="127" spans="1:16" x14ac:dyDescent="0.35">
      <c r="A127">
        <v>131</v>
      </c>
      <c r="B127">
        <v>1.2225470000000001</v>
      </c>
      <c r="C127">
        <v>129</v>
      </c>
      <c r="D127">
        <v>1.2169000000000001</v>
      </c>
      <c r="E127">
        <v>124</v>
      </c>
      <c r="F127">
        <v>1.223104</v>
      </c>
      <c r="G127" s="8">
        <f t="shared" si="5"/>
        <v>0.34051299999999984</v>
      </c>
      <c r="H127" s="8">
        <f t="shared" si="4"/>
        <v>5582</v>
      </c>
      <c r="I127" s="8"/>
      <c r="J127" s="8"/>
      <c r="K127" s="8">
        <v>1766995.85</v>
      </c>
      <c r="M127">
        <v>1.2169000000000001</v>
      </c>
      <c r="N127">
        <f t="shared" si="6"/>
        <v>0.34754200000000002</v>
      </c>
      <c r="O127">
        <v>1.223104</v>
      </c>
      <c r="P127">
        <f t="shared" si="7"/>
        <v>0.34011499999999995</v>
      </c>
    </row>
    <row r="128" spans="1:16" x14ac:dyDescent="0.35">
      <c r="A128">
        <v>130</v>
      </c>
      <c r="B128">
        <v>1.219568</v>
      </c>
      <c r="C128">
        <v>128</v>
      </c>
      <c r="D128">
        <v>1.213905</v>
      </c>
      <c r="E128">
        <v>123</v>
      </c>
      <c r="F128">
        <v>1.220372</v>
      </c>
      <c r="G128" s="8">
        <f t="shared" si="5"/>
        <v>0.34349199999999991</v>
      </c>
      <c r="H128" s="8">
        <f t="shared" si="4"/>
        <v>5631</v>
      </c>
      <c r="I128" s="8"/>
      <c r="J128" s="8"/>
      <c r="K128" s="8">
        <v>1778118.84</v>
      </c>
      <c r="M128">
        <v>1.213905</v>
      </c>
      <c r="N128">
        <f t="shared" si="6"/>
        <v>0.3505370000000001</v>
      </c>
      <c r="O128">
        <v>1.220372</v>
      </c>
      <c r="P128">
        <f t="shared" si="7"/>
        <v>0.3428469999999999</v>
      </c>
    </row>
    <row r="129" spans="1:16" x14ac:dyDescent="0.35">
      <c r="A129">
        <v>129</v>
      </c>
      <c r="B129">
        <v>1.2177039999999999</v>
      </c>
      <c r="C129">
        <v>127</v>
      </c>
      <c r="D129">
        <v>1.224005</v>
      </c>
      <c r="E129">
        <v>122</v>
      </c>
      <c r="F129">
        <v>1.2174370000000001</v>
      </c>
      <c r="G129" s="8">
        <f t="shared" si="5"/>
        <v>0.345356</v>
      </c>
      <c r="H129" s="8">
        <f t="shared" si="4"/>
        <v>5661</v>
      </c>
      <c r="I129" s="8"/>
      <c r="J129" s="8"/>
      <c r="K129" s="8">
        <v>1789241.83</v>
      </c>
      <c r="M129">
        <v>1.224005</v>
      </c>
      <c r="N129">
        <f t="shared" si="6"/>
        <v>0.3404370000000001</v>
      </c>
      <c r="O129">
        <v>1.2174370000000001</v>
      </c>
      <c r="P129">
        <f t="shared" si="7"/>
        <v>0.34578199999999981</v>
      </c>
    </row>
    <row r="130" spans="1:16" x14ac:dyDescent="0.35">
      <c r="A130">
        <v>128</v>
      </c>
      <c r="B130">
        <v>1.214513</v>
      </c>
      <c r="C130">
        <v>126</v>
      </c>
      <c r="D130">
        <v>1.220836</v>
      </c>
      <c r="E130">
        <v>121</v>
      </c>
      <c r="F130">
        <v>1.2147429999999999</v>
      </c>
      <c r="G130" s="8">
        <f t="shared" si="5"/>
        <v>0.34854699999999994</v>
      </c>
      <c r="H130" s="8">
        <f t="shared" si="4"/>
        <v>5713</v>
      </c>
      <c r="I130" s="8">
        <v>32</v>
      </c>
      <c r="J130" s="8">
        <v>1800364.82</v>
      </c>
      <c r="K130" s="8">
        <v>1800364.82</v>
      </c>
      <c r="M130">
        <v>1.220836</v>
      </c>
      <c r="N130">
        <f t="shared" si="6"/>
        <v>0.34360600000000008</v>
      </c>
      <c r="O130">
        <v>1.2147429999999999</v>
      </c>
      <c r="P130">
        <f t="shared" si="7"/>
        <v>0.34847600000000001</v>
      </c>
    </row>
    <row r="131" spans="1:16" x14ac:dyDescent="0.35">
      <c r="A131">
        <v>127</v>
      </c>
      <c r="B131">
        <v>1.2184729999999999</v>
      </c>
      <c r="C131">
        <v>125</v>
      </c>
      <c r="D131">
        <v>1.2186159999999999</v>
      </c>
      <c r="E131">
        <v>120</v>
      </c>
      <c r="F131">
        <v>1.2117260000000001</v>
      </c>
      <c r="G131" s="8">
        <f t="shared" si="5"/>
        <v>0.34458699999999998</v>
      </c>
      <c r="H131" s="8">
        <f t="shared" si="4"/>
        <v>5648</v>
      </c>
      <c r="I131" s="8"/>
      <c r="J131" s="8"/>
      <c r="K131" s="8"/>
      <c r="M131">
        <v>1.2186159999999999</v>
      </c>
      <c r="N131">
        <f t="shared" si="6"/>
        <v>0.34582600000000019</v>
      </c>
      <c r="O131">
        <v>1.2117260000000001</v>
      </c>
      <c r="P131">
        <f t="shared" si="7"/>
        <v>0.35149299999999983</v>
      </c>
    </row>
    <row r="132" spans="1:16" x14ac:dyDescent="0.35">
      <c r="A132">
        <v>126</v>
      </c>
      <c r="B132">
        <v>1.2153309999999999</v>
      </c>
      <c r="C132">
        <v>124</v>
      </c>
      <c r="D132">
        <v>1.215462</v>
      </c>
      <c r="E132">
        <v>119</v>
      </c>
      <c r="F132">
        <v>1.2062980000000001</v>
      </c>
      <c r="G132" s="8">
        <f t="shared" si="5"/>
        <v>0.34772899999999995</v>
      </c>
      <c r="H132" s="8">
        <f t="shared" si="4"/>
        <v>5700</v>
      </c>
      <c r="I132" s="8"/>
      <c r="J132" s="8"/>
      <c r="K132" s="8"/>
      <c r="M132">
        <v>1.215462</v>
      </c>
      <c r="N132">
        <f t="shared" si="6"/>
        <v>0.34898000000000007</v>
      </c>
      <c r="O132">
        <v>1.2062980000000001</v>
      </c>
      <c r="P132">
        <f t="shared" si="7"/>
        <v>0.35692099999999982</v>
      </c>
    </row>
    <row r="133" spans="1:16" x14ac:dyDescent="0.35">
      <c r="A133">
        <v>125</v>
      </c>
      <c r="B133">
        <v>1.2135670000000001</v>
      </c>
      <c r="C133">
        <v>123</v>
      </c>
      <c r="D133">
        <v>1.211964</v>
      </c>
      <c r="E133">
        <v>118</v>
      </c>
      <c r="F133">
        <v>1.2035439999999999</v>
      </c>
      <c r="G133" s="8">
        <f t="shared" si="5"/>
        <v>0.34949299999999983</v>
      </c>
      <c r="H133" s="8">
        <f t="shared" ref="H133:H196" si="8">INT(G133/(6.1*10^(-5)))</f>
        <v>5729</v>
      </c>
      <c r="I133" s="8"/>
      <c r="J133" s="8"/>
      <c r="K133" s="8"/>
      <c r="M133">
        <v>1.211964</v>
      </c>
      <c r="N133">
        <f t="shared" si="6"/>
        <v>0.35247800000000007</v>
      </c>
      <c r="O133">
        <v>1.2035439999999999</v>
      </c>
      <c r="P133">
        <f t="shared" si="7"/>
        <v>0.35967499999999997</v>
      </c>
    </row>
    <row r="134" spans="1:16" x14ac:dyDescent="0.35">
      <c r="A134">
        <v>124</v>
      </c>
      <c r="B134">
        <v>1.2105399999999999</v>
      </c>
      <c r="C134">
        <v>122</v>
      </c>
      <c r="D134">
        <v>1.2091149999999999</v>
      </c>
      <c r="E134">
        <v>117</v>
      </c>
      <c r="F134">
        <v>1.2007410000000001</v>
      </c>
      <c r="G134" s="8">
        <f t="shared" ref="G134:G197" si="9">G133+(B133-B134)</f>
        <v>0.35251999999999994</v>
      </c>
      <c r="H134" s="8">
        <f t="shared" si="8"/>
        <v>5779</v>
      </c>
      <c r="I134" s="8"/>
      <c r="J134" s="8"/>
      <c r="K134" s="8"/>
      <c r="M134">
        <v>1.2091149999999999</v>
      </c>
      <c r="N134">
        <f t="shared" ref="N134:N197" si="10">N133+(M133-M134)</f>
        <v>0.35532700000000017</v>
      </c>
      <c r="O134">
        <v>1.2007410000000001</v>
      </c>
      <c r="P134">
        <f t="shared" ref="P134:P197" si="11">P133+(O133-O134)</f>
        <v>0.36247799999999986</v>
      </c>
    </row>
    <row r="135" spans="1:16" x14ac:dyDescent="0.35">
      <c r="A135">
        <v>123</v>
      </c>
      <c r="B135">
        <v>1.2068840000000001</v>
      </c>
      <c r="C135">
        <v>121</v>
      </c>
      <c r="D135">
        <v>1.2064889999999999</v>
      </c>
      <c r="E135">
        <v>116</v>
      </c>
      <c r="F135">
        <v>1.1979219999999999</v>
      </c>
      <c r="G135" s="8">
        <f t="shared" si="9"/>
        <v>0.35617599999999983</v>
      </c>
      <c r="H135" s="8">
        <f t="shared" si="8"/>
        <v>5838</v>
      </c>
      <c r="I135" s="8"/>
      <c r="J135" s="8"/>
      <c r="K135" s="8"/>
      <c r="M135">
        <v>1.2064889999999999</v>
      </c>
      <c r="N135">
        <f t="shared" si="10"/>
        <v>0.35795300000000019</v>
      </c>
      <c r="O135">
        <v>1.1979219999999999</v>
      </c>
      <c r="P135">
        <f t="shared" si="11"/>
        <v>0.36529699999999998</v>
      </c>
    </row>
    <row r="136" spans="1:16" x14ac:dyDescent="0.35">
      <c r="A136">
        <v>122</v>
      </c>
      <c r="B136">
        <v>1.2036210000000001</v>
      </c>
      <c r="C136">
        <v>120</v>
      </c>
      <c r="D136">
        <v>1.2035389999999999</v>
      </c>
      <c r="E136">
        <v>115</v>
      </c>
      <c r="F136">
        <v>1.194936</v>
      </c>
      <c r="G136" s="8">
        <f t="shared" si="9"/>
        <v>0.35943899999999984</v>
      </c>
      <c r="H136" s="8">
        <f t="shared" si="8"/>
        <v>5892</v>
      </c>
      <c r="I136" s="8"/>
      <c r="J136" s="8"/>
      <c r="K136" s="8"/>
      <c r="M136">
        <v>1.2035389999999999</v>
      </c>
      <c r="N136">
        <f t="shared" si="10"/>
        <v>0.3609030000000002</v>
      </c>
      <c r="O136">
        <v>1.194936</v>
      </c>
      <c r="P136">
        <f t="shared" si="11"/>
        <v>0.36828299999999992</v>
      </c>
    </row>
    <row r="137" spans="1:16" x14ac:dyDescent="0.35">
      <c r="A137">
        <v>121</v>
      </c>
      <c r="B137">
        <v>1.2019930000000001</v>
      </c>
      <c r="C137">
        <v>119</v>
      </c>
      <c r="D137">
        <v>1.201694</v>
      </c>
      <c r="E137">
        <v>114</v>
      </c>
      <c r="F137">
        <v>1.1921790000000001</v>
      </c>
      <c r="G137" s="8">
        <f t="shared" si="9"/>
        <v>0.3610669999999998</v>
      </c>
      <c r="H137" s="8">
        <f t="shared" si="8"/>
        <v>5919</v>
      </c>
      <c r="I137" s="8"/>
      <c r="J137" s="8"/>
      <c r="K137" s="8"/>
      <c r="M137">
        <v>1.201694</v>
      </c>
      <c r="N137">
        <f t="shared" si="10"/>
        <v>0.36274800000000007</v>
      </c>
      <c r="O137">
        <v>1.1921790000000001</v>
      </c>
      <c r="P137">
        <f t="shared" si="11"/>
        <v>0.37103999999999981</v>
      </c>
    </row>
    <row r="138" spans="1:16" x14ac:dyDescent="0.35">
      <c r="A138">
        <v>120</v>
      </c>
      <c r="B138">
        <v>1.1987460000000001</v>
      </c>
      <c r="C138">
        <v>118</v>
      </c>
      <c r="D138">
        <v>1.1985730000000001</v>
      </c>
      <c r="E138">
        <v>113</v>
      </c>
      <c r="F138">
        <v>1.1893959999999999</v>
      </c>
      <c r="G138" s="8">
        <f t="shared" si="9"/>
        <v>0.3643139999999998</v>
      </c>
      <c r="H138" s="8">
        <f t="shared" si="8"/>
        <v>5972</v>
      </c>
      <c r="I138" s="8">
        <v>31.5</v>
      </c>
      <c r="J138" s="8">
        <v>1881606.38</v>
      </c>
      <c r="K138" s="8"/>
      <c r="M138">
        <v>1.1985730000000001</v>
      </c>
      <c r="N138">
        <f t="shared" si="10"/>
        <v>0.365869</v>
      </c>
      <c r="O138">
        <v>1.1893959999999999</v>
      </c>
      <c r="P138">
        <f t="shared" si="11"/>
        <v>0.37382300000000002</v>
      </c>
    </row>
    <row r="139" spans="1:16" x14ac:dyDescent="0.35">
      <c r="A139">
        <v>119</v>
      </c>
      <c r="B139">
        <v>1.196094</v>
      </c>
      <c r="C139">
        <v>117</v>
      </c>
      <c r="D139">
        <v>1.1960809999999999</v>
      </c>
      <c r="E139">
        <v>112</v>
      </c>
      <c r="F139">
        <v>1.1864600000000001</v>
      </c>
      <c r="G139" s="8">
        <f t="shared" si="9"/>
        <v>0.3669659999999999</v>
      </c>
      <c r="H139" s="8">
        <f t="shared" si="8"/>
        <v>6015</v>
      </c>
      <c r="I139" s="8"/>
      <c r="J139" s="8"/>
      <c r="K139" s="8"/>
      <c r="M139">
        <v>1.1960809999999999</v>
      </c>
      <c r="N139">
        <f t="shared" si="10"/>
        <v>0.36836100000000016</v>
      </c>
      <c r="O139">
        <v>1.1864600000000001</v>
      </c>
      <c r="P139">
        <f t="shared" si="11"/>
        <v>0.37675899999999984</v>
      </c>
    </row>
    <row r="140" spans="1:16" x14ac:dyDescent="0.35">
      <c r="A140">
        <v>118</v>
      </c>
      <c r="B140">
        <v>1.193052</v>
      </c>
      <c r="C140">
        <v>116</v>
      </c>
      <c r="D140">
        <v>1.1929259999999999</v>
      </c>
      <c r="E140">
        <v>111</v>
      </c>
      <c r="F140">
        <v>1.182231</v>
      </c>
      <c r="G140" s="8">
        <f t="shared" si="9"/>
        <v>0.37000799999999989</v>
      </c>
      <c r="H140" s="8">
        <f t="shared" si="8"/>
        <v>6065</v>
      </c>
      <c r="I140" s="8"/>
      <c r="J140" s="8"/>
      <c r="K140" s="8"/>
      <c r="M140">
        <v>1.1929259999999999</v>
      </c>
      <c r="N140">
        <f t="shared" si="10"/>
        <v>0.37151600000000018</v>
      </c>
      <c r="O140">
        <v>1.182231</v>
      </c>
      <c r="P140">
        <f t="shared" si="11"/>
        <v>0.38098799999999988</v>
      </c>
    </row>
    <row r="141" spans="1:16" x14ac:dyDescent="0.35">
      <c r="A141">
        <v>117</v>
      </c>
      <c r="B141">
        <v>1.1909909999999999</v>
      </c>
      <c r="C141">
        <v>115</v>
      </c>
      <c r="D141">
        <v>1.189602</v>
      </c>
      <c r="E141">
        <v>110</v>
      </c>
      <c r="F141">
        <v>1.179184</v>
      </c>
      <c r="G141" s="8">
        <f t="shared" si="9"/>
        <v>0.37206899999999998</v>
      </c>
      <c r="H141" s="8">
        <f t="shared" si="8"/>
        <v>6099</v>
      </c>
      <c r="I141" s="8"/>
      <c r="J141" s="8"/>
      <c r="K141" s="8"/>
      <c r="M141">
        <v>1.189602</v>
      </c>
      <c r="N141">
        <f t="shared" si="10"/>
        <v>0.37484000000000006</v>
      </c>
      <c r="O141">
        <v>1.179184</v>
      </c>
      <c r="P141">
        <f t="shared" si="11"/>
        <v>0.3840349999999999</v>
      </c>
    </row>
    <row r="142" spans="1:16" x14ac:dyDescent="0.35">
      <c r="A142">
        <v>116</v>
      </c>
      <c r="B142">
        <v>1.187859</v>
      </c>
      <c r="C142">
        <v>114</v>
      </c>
      <c r="D142">
        <v>1.186518</v>
      </c>
      <c r="E142">
        <v>109</v>
      </c>
      <c r="F142">
        <v>1.1764699999999999</v>
      </c>
      <c r="G142" s="8">
        <f t="shared" si="9"/>
        <v>0.3752009999999999</v>
      </c>
      <c r="H142" s="8">
        <f t="shared" si="8"/>
        <v>6150</v>
      </c>
      <c r="I142" s="8"/>
      <c r="J142" s="8"/>
      <c r="K142" s="8"/>
      <c r="M142">
        <v>1.186518</v>
      </c>
      <c r="N142">
        <f t="shared" si="10"/>
        <v>0.37792400000000015</v>
      </c>
      <c r="O142">
        <v>1.1764699999999999</v>
      </c>
      <c r="P142">
        <f t="shared" si="11"/>
        <v>0.38674900000000001</v>
      </c>
    </row>
    <row r="143" spans="1:16" x14ac:dyDescent="0.35">
      <c r="A143">
        <v>115</v>
      </c>
      <c r="B143">
        <v>1.1840999999999999</v>
      </c>
      <c r="C143">
        <v>113</v>
      </c>
      <c r="D143">
        <v>1.1838759999999999</v>
      </c>
      <c r="E143">
        <v>108</v>
      </c>
      <c r="F143">
        <v>1.1736500000000001</v>
      </c>
      <c r="G143" s="8">
        <f t="shared" si="9"/>
        <v>0.37895999999999996</v>
      </c>
      <c r="H143" s="8">
        <f t="shared" si="8"/>
        <v>6212</v>
      </c>
      <c r="I143" s="8"/>
      <c r="J143" s="8"/>
      <c r="K143" s="8"/>
      <c r="M143">
        <v>1.1838759999999999</v>
      </c>
      <c r="N143">
        <f t="shared" si="10"/>
        <v>0.38056600000000018</v>
      </c>
      <c r="O143">
        <v>1.1736500000000001</v>
      </c>
      <c r="P143">
        <f t="shared" si="11"/>
        <v>0.38956899999999983</v>
      </c>
    </row>
    <row r="144" spans="1:16" x14ac:dyDescent="0.35">
      <c r="A144">
        <v>114</v>
      </c>
      <c r="B144">
        <v>1.1813020000000001</v>
      </c>
      <c r="C144">
        <v>112</v>
      </c>
      <c r="D144">
        <v>1.1810449999999999</v>
      </c>
      <c r="E144">
        <v>107</v>
      </c>
      <c r="F144">
        <v>1.170712</v>
      </c>
      <c r="G144" s="8">
        <f t="shared" si="9"/>
        <v>0.38175799999999982</v>
      </c>
      <c r="H144" s="8">
        <f t="shared" si="8"/>
        <v>6258</v>
      </c>
      <c r="I144" s="8"/>
      <c r="J144" s="8"/>
      <c r="K144" s="8"/>
      <c r="M144">
        <v>1.1810449999999999</v>
      </c>
      <c r="N144">
        <f t="shared" si="10"/>
        <v>0.38339700000000021</v>
      </c>
      <c r="O144">
        <v>1.170712</v>
      </c>
      <c r="P144">
        <f t="shared" si="11"/>
        <v>0.39250699999999994</v>
      </c>
    </row>
    <row r="145" spans="1:16" x14ac:dyDescent="0.35">
      <c r="A145">
        <v>113</v>
      </c>
      <c r="B145">
        <v>1.1793880000000001</v>
      </c>
      <c r="C145">
        <v>111</v>
      </c>
      <c r="D145">
        <v>1.177014</v>
      </c>
      <c r="E145">
        <v>106</v>
      </c>
      <c r="F145">
        <v>1.1679040000000001</v>
      </c>
      <c r="G145" s="8">
        <f t="shared" si="9"/>
        <v>0.38367199999999979</v>
      </c>
      <c r="H145" s="8">
        <f t="shared" si="8"/>
        <v>6289</v>
      </c>
      <c r="I145" s="8">
        <v>31</v>
      </c>
      <c r="J145" s="8">
        <v>1966669.19</v>
      </c>
      <c r="K145" s="8"/>
      <c r="M145">
        <v>1.177014</v>
      </c>
      <c r="N145">
        <f t="shared" si="10"/>
        <v>0.38742800000000011</v>
      </c>
      <c r="O145">
        <v>1.1679040000000001</v>
      </c>
      <c r="P145">
        <f t="shared" si="11"/>
        <v>0.39531499999999986</v>
      </c>
    </row>
    <row r="146" spans="1:16" x14ac:dyDescent="0.35">
      <c r="A146">
        <v>112</v>
      </c>
      <c r="B146">
        <v>1.1761440000000001</v>
      </c>
      <c r="C146">
        <v>110</v>
      </c>
      <c r="D146">
        <v>1.173902</v>
      </c>
      <c r="E146">
        <v>105</v>
      </c>
      <c r="F146">
        <v>1.1649959999999999</v>
      </c>
      <c r="G146" s="8">
        <f t="shared" si="9"/>
        <v>0.38691599999999982</v>
      </c>
      <c r="H146" s="8">
        <f t="shared" si="8"/>
        <v>6342</v>
      </c>
      <c r="I146" s="8"/>
      <c r="J146" s="8"/>
      <c r="K146" s="8"/>
      <c r="M146">
        <v>1.173902</v>
      </c>
      <c r="N146">
        <f t="shared" si="10"/>
        <v>0.39054000000000011</v>
      </c>
      <c r="O146">
        <v>1.1649959999999999</v>
      </c>
      <c r="P146">
        <f t="shared" si="11"/>
        <v>0.39822299999999999</v>
      </c>
    </row>
    <row r="147" spans="1:16" x14ac:dyDescent="0.35">
      <c r="A147">
        <v>111</v>
      </c>
      <c r="B147">
        <v>1.171341</v>
      </c>
      <c r="C147">
        <v>109</v>
      </c>
      <c r="D147">
        <v>1.1714530000000001</v>
      </c>
      <c r="E147">
        <v>104</v>
      </c>
      <c r="F147">
        <v>1.162107</v>
      </c>
      <c r="G147" s="8">
        <f t="shared" si="9"/>
        <v>0.39171899999999993</v>
      </c>
      <c r="H147" s="8">
        <f t="shared" si="8"/>
        <v>6421</v>
      </c>
      <c r="I147" s="8"/>
      <c r="J147" s="8"/>
      <c r="K147" s="8"/>
      <c r="M147">
        <v>1.1714530000000001</v>
      </c>
      <c r="N147">
        <f t="shared" si="10"/>
        <v>0.39298900000000003</v>
      </c>
      <c r="O147">
        <v>1.162107</v>
      </c>
      <c r="P147">
        <f t="shared" si="11"/>
        <v>0.40111199999999991</v>
      </c>
    </row>
    <row r="148" spans="1:16" x14ac:dyDescent="0.35">
      <c r="A148">
        <v>110</v>
      </c>
      <c r="B148">
        <v>1.168059</v>
      </c>
      <c r="C148">
        <v>108</v>
      </c>
      <c r="D148">
        <v>1.168328</v>
      </c>
      <c r="E148">
        <v>103</v>
      </c>
      <c r="F148">
        <v>1.1566179999999999</v>
      </c>
      <c r="G148" s="8">
        <f t="shared" si="9"/>
        <v>0.39500099999999994</v>
      </c>
      <c r="H148" s="8">
        <f t="shared" si="8"/>
        <v>6475</v>
      </c>
      <c r="I148" s="8"/>
      <c r="J148" s="8"/>
      <c r="K148" s="8"/>
      <c r="M148">
        <v>1.168328</v>
      </c>
      <c r="N148">
        <f t="shared" si="10"/>
        <v>0.39611400000000008</v>
      </c>
      <c r="O148">
        <v>1.1566179999999999</v>
      </c>
      <c r="P148">
        <f t="shared" si="11"/>
        <v>0.40660099999999999</v>
      </c>
    </row>
    <row r="149" spans="1:16" x14ac:dyDescent="0.35">
      <c r="A149">
        <v>109</v>
      </c>
      <c r="B149">
        <v>1.1663969999999999</v>
      </c>
      <c r="C149">
        <v>107</v>
      </c>
      <c r="D149">
        <v>1.1647970000000001</v>
      </c>
      <c r="E149">
        <v>102</v>
      </c>
      <c r="F149">
        <v>1.1537200000000001</v>
      </c>
      <c r="G149" s="8">
        <f t="shared" si="9"/>
        <v>0.39666299999999999</v>
      </c>
      <c r="H149" s="8">
        <f t="shared" si="8"/>
        <v>6502</v>
      </c>
      <c r="I149" s="8"/>
      <c r="J149" s="8"/>
      <c r="K149" s="8"/>
      <c r="M149">
        <v>1.1647970000000001</v>
      </c>
      <c r="N149">
        <f t="shared" si="10"/>
        <v>0.39964500000000003</v>
      </c>
      <c r="O149">
        <v>1.1537200000000001</v>
      </c>
      <c r="P149">
        <f t="shared" si="11"/>
        <v>0.40949899999999984</v>
      </c>
    </row>
    <row r="150" spans="1:16" x14ac:dyDescent="0.35">
      <c r="A150">
        <v>108</v>
      </c>
      <c r="B150">
        <v>1.1631389999999999</v>
      </c>
      <c r="C150">
        <v>106</v>
      </c>
      <c r="D150">
        <v>1.1617489999999999</v>
      </c>
      <c r="E150">
        <v>101</v>
      </c>
      <c r="F150">
        <v>1.150971</v>
      </c>
      <c r="G150" s="8">
        <f t="shared" si="9"/>
        <v>0.39992099999999997</v>
      </c>
      <c r="H150" s="8">
        <f t="shared" si="8"/>
        <v>6556</v>
      </c>
      <c r="I150" s="8"/>
      <c r="J150" s="8"/>
      <c r="K150" s="8"/>
      <c r="M150">
        <v>1.1617489999999999</v>
      </c>
      <c r="N150">
        <f t="shared" si="10"/>
        <v>0.40269300000000019</v>
      </c>
      <c r="O150">
        <v>1.150971</v>
      </c>
      <c r="P150">
        <f t="shared" si="11"/>
        <v>0.41224799999999995</v>
      </c>
    </row>
    <row r="151" spans="1:16" x14ac:dyDescent="0.35">
      <c r="A151">
        <v>107</v>
      </c>
      <c r="B151">
        <v>1.159484</v>
      </c>
      <c r="C151">
        <v>105</v>
      </c>
      <c r="D151">
        <v>1.1591990000000001</v>
      </c>
      <c r="E151">
        <v>100</v>
      </c>
      <c r="F151">
        <v>1.1481710000000001</v>
      </c>
      <c r="G151" s="8">
        <f t="shared" si="9"/>
        <v>0.40357599999999993</v>
      </c>
      <c r="H151" s="8">
        <f t="shared" si="8"/>
        <v>6616</v>
      </c>
      <c r="I151" s="8"/>
      <c r="J151" s="8"/>
      <c r="K151" s="8"/>
      <c r="M151">
        <v>1.1591990000000001</v>
      </c>
      <c r="N151">
        <f t="shared" si="10"/>
        <v>0.40524300000000002</v>
      </c>
      <c r="O151">
        <v>1.1481710000000001</v>
      </c>
      <c r="P151">
        <f t="shared" si="11"/>
        <v>0.41504799999999986</v>
      </c>
    </row>
    <row r="152" spans="1:16" x14ac:dyDescent="0.35">
      <c r="A152">
        <v>106</v>
      </c>
      <c r="B152">
        <v>1.156366</v>
      </c>
      <c r="C152">
        <v>104</v>
      </c>
      <c r="D152">
        <v>1.156123</v>
      </c>
      <c r="E152">
        <v>99</v>
      </c>
      <c r="F152">
        <v>1.1451260000000001</v>
      </c>
      <c r="G152" s="8">
        <f t="shared" si="9"/>
        <v>0.40669399999999989</v>
      </c>
      <c r="H152" s="8">
        <f t="shared" si="8"/>
        <v>6667</v>
      </c>
      <c r="I152" s="8">
        <v>30.5</v>
      </c>
      <c r="J152" s="8">
        <v>2049825.53</v>
      </c>
      <c r="K152" s="8"/>
      <c r="M152">
        <v>1.156123</v>
      </c>
      <c r="N152">
        <f t="shared" si="10"/>
        <v>0.4083190000000001</v>
      </c>
      <c r="O152">
        <v>1.1451260000000001</v>
      </c>
      <c r="P152">
        <f t="shared" si="11"/>
        <v>0.41809299999999983</v>
      </c>
    </row>
    <row r="153" spans="1:16" x14ac:dyDescent="0.35">
      <c r="A153">
        <v>105</v>
      </c>
      <c r="B153">
        <v>1.154352</v>
      </c>
      <c r="C153">
        <v>103</v>
      </c>
      <c r="D153">
        <v>1.1540900000000001</v>
      </c>
      <c r="E153">
        <v>98</v>
      </c>
      <c r="F153">
        <v>1.1421939999999999</v>
      </c>
      <c r="G153" s="8">
        <f t="shared" si="9"/>
        <v>0.40870799999999985</v>
      </c>
      <c r="H153" s="8">
        <f t="shared" si="8"/>
        <v>6700</v>
      </c>
      <c r="I153" s="8"/>
      <c r="J153" s="8"/>
      <c r="K153" s="8"/>
      <c r="M153">
        <v>1.1540900000000001</v>
      </c>
      <c r="N153">
        <f t="shared" si="10"/>
        <v>0.41035200000000005</v>
      </c>
      <c r="O153">
        <v>1.1421939999999999</v>
      </c>
      <c r="P153">
        <f t="shared" si="11"/>
        <v>0.42102499999999998</v>
      </c>
    </row>
    <row r="154" spans="1:16" x14ac:dyDescent="0.35">
      <c r="A154">
        <v>104</v>
      </c>
      <c r="B154">
        <v>1.1511439999999999</v>
      </c>
      <c r="C154">
        <v>102</v>
      </c>
      <c r="D154">
        <v>1.1511480000000001</v>
      </c>
      <c r="E154">
        <v>97</v>
      </c>
      <c r="F154">
        <v>1.1395630000000001</v>
      </c>
      <c r="G154" s="8">
        <f t="shared" si="9"/>
        <v>0.41191599999999995</v>
      </c>
      <c r="H154" s="8">
        <f t="shared" si="8"/>
        <v>6752</v>
      </c>
      <c r="I154" s="8"/>
      <c r="J154" s="8"/>
      <c r="K154" s="8"/>
      <c r="M154">
        <v>1.1511480000000001</v>
      </c>
      <c r="N154">
        <f t="shared" si="10"/>
        <v>0.41329400000000005</v>
      </c>
      <c r="O154">
        <v>1.1395630000000001</v>
      </c>
      <c r="P154">
        <f t="shared" si="11"/>
        <v>0.42365599999999981</v>
      </c>
    </row>
    <row r="155" spans="1:16" x14ac:dyDescent="0.35">
      <c r="A155">
        <v>103</v>
      </c>
      <c r="B155">
        <v>1.148536</v>
      </c>
      <c r="C155">
        <v>101</v>
      </c>
      <c r="D155">
        <v>1.148576</v>
      </c>
      <c r="E155">
        <v>96</v>
      </c>
      <c r="F155">
        <v>1.1364380000000001</v>
      </c>
      <c r="G155" s="8">
        <f t="shared" si="9"/>
        <v>0.41452399999999989</v>
      </c>
      <c r="H155" s="8">
        <f t="shared" si="8"/>
        <v>6795</v>
      </c>
      <c r="I155" s="8"/>
      <c r="J155" s="8"/>
      <c r="K155" s="8"/>
      <c r="M155">
        <v>1.148576</v>
      </c>
      <c r="N155">
        <f t="shared" si="10"/>
        <v>0.41586600000000007</v>
      </c>
      <c r="O155">
        <v>1.1364380000000001</v>
      </c>
      <c r="P155">
        <f t="shared" si="11"/>
        <v>0.42678099999999985</v>
      </c>
    </row>
    <row r="156" spans="1:16" x14ac:dyDescent="0.35">
      <c r="A156">
        <v>102</v>
      </c>
      <c r="B156">
        <v>1.1453230000000001</v>
      </c>
      <c r="C156">
        <v>100</v>
      </c>
      <c r="D156">
        <v>1.1454139999999999</v>
      </c>
      <c r="E156">
        <v>95</v>
      </c>
      <c r="F156">
        <v>1.1354059999999999</v>
      </c>
      <c r="G156" s="8">
        <f t="shared" si="9"/>
        <v>0.4177369999999998</v>
      </c>
      <c r="H156" s="8">
        <f t="shared" si="8"/>
        <v>6848</v>
      </c>
      <c r="I156" s="8"/>
      <c r="J156" s="8"/>
      <c r="K156" s="8"/>
      <c r="M156">
        <v>1.1454139999999999</v>
      </c>
      <c r="N156">
        <f t="shared" si="10"/>
        <v>0.41902800000000018</v>
      </c>
      <c r="O156">
        <v>1.1354059999999999</v>
      </c>
      <c r="P156">
        <f t="shared" si="11"/>
        <v>0.427813</v>
      </c>
    </row>
    <row r="157" spans="1:16" x14ac:dyDescent="0.35">
      <c r="A157">
        <v>101</v>
      </c>
      <c r="B157">
        <v>1.143535</v>
      </c>
      <c r="C157">
        <v>99</v>
      </c>
      <c r="D157">
        <v>1.1419969999999999</v>
      </c>
      <c r="E157">
        <v>94</v>
      </c>
      <c r="F157">
        <v>1.1325259999999999</v>
      </c>
      <c r="G157" s="8">
        <f t="shared" si="9"/>
        <v>0.41952499999999993</v>
      </c>
      <c r="H157" s="8">
        <f t="shared" si="8"/>
        <v>6877</v>
      </c>
      <c r="I157" s="8"/>
      <c r="J157" s="8"/>
      <c r="K157" s="8"/>
      <c r="M157">
        <v>1.1419969999999999</v>
      </c>
      <c r="N157">
        <f t="shared" si="10"/>
        <v>0.42244500000000018</v>
      </c>
      <c r="O157">
        <v>1.1325259999999999</v>
      </c>
      <c r="P157">
        <f t="shared" si="11"/>
        <v>0.43069299999999999</v>
      </c>
    </row>
    <row r="158" spans="1:16" x14ac:dyDescent="0.35">
      <c r="A158">
        <v>100</v>
      </c>
      <c r="B158">
        <v>1.1404559999999999</v>
      </c>
      <c r="C158">
        <v>98</v>
      </c>
      <c r="D158">
        <v>1.1388450000000001</v>
      </c>
      <c r="E158">
        <v>93</v>
      </c>
      <c r="F158">
        <v>1.129875</v>
      </c>
      <c r="G158" s="8">
        <f t="shared" si="9"/>
        <v>0.42260399999999998</v>
      </c>
      <c r="H158" s="8">
        <f t="shared" si="8"/>
        <v>6927</v>
      </c>
      <c r="I158" s="8"/>
      <c r="J158" s="8"/>
      <c r="K158" s="8"/>
      <c r="M158">
        <v>1.1388450000000001</v>
      </c>
      <c r="N158">
        <f t="shared" si="10"/>
        <v>0.425597</v>
      </c>
      <c r="O158">
        <v>1.129875</v>
      </c>
      <c r="P158">
        <f t="shared" si="11"/>
        <v>0.43334399999999995</v>
      </c>
    </row>
    <row r="159" spans="1:16" x14ac:dyDescent="0.35">
      <c r="A159">
        <v>99</v>
      </c>
      <c r="B159">
        <v>1.1367620000000001</v>
      </c>
      <c r="C159">
        <v>97</v>
      </c>
      <c r="D159">
        <v>1.1363840000000001</v>
      </c>
      <c r="E159">
        <v>92</v>
      </c>
      <c r="F159">
        <v>1.12697</v>
      </c>
      <c r="G159" s="8">
        <f t="shared" si="9"/>
        <v>0.42629799999999984</v>
      </c>
      <c r="H159" s="8">
        <f t="shared" si="8"/>
        <v>6988</v>
      </c>
      <c r="I159" s="8"/>
      <c r="J159" s="8"/>
      <c r="K159" s="8"/>
      <c r="M159">
        <v>1.1363840000000001</v>
      </c>
      <c r="N159">
        <f t="shared" si="10"/>
        <v>0.42805800000000005</v>
      </c>
      <c r="O159">
        <v>1.12697</v>
      </c>
      <c r="P159">
        <f t="shared" si="11"/>
        <v>0.43624899999999989</v>
      </c>
    </row>
    <row r="160" spans="1:16" x14ac:dyDescent="0.35">
      <c r="A160">
        <v>98</v>
      </c>
      <c r="B160">
        <v>1.133446</v>
      </c>
      <c r="C160">
        <v>96</v>
      </c>
      <c r="D160">
        <v>1.133318</v>
      </c>
      <c r="E160">
        <v>91</v>
      </c>
      <c r="F160">
        <v>1.124017</v>
      </c>
      <c r="G160" s="8">
        <f t="shared" si="9"/>
        <v>0.42961399999999994</v>
      </c>
      <c r="H160" s="8">
        <f t="shared" si="8"/>
        <v>7042</v>
      </c>
      <c r="I160" s="8"/>
      <c r="J160" s="8"/>
      <c r="K160" s="8"/>
      <c r="M160">
        <v>1.133318</v>
      </c>
      <c r="N160">
        <f t="shared" si="10"/>
        <v>0.43112400000000006</v>
      </c>
      <c r="O160">
        <v>1.124017</v>
      </c>
      <c r="P160">
        <f t="shared" si="11"/>
        <v>0.43920199999999987</v>
      </c>
    </row>
    <row r="161" spans="1:16" x14ac:dyDescent="0.35">
      <c r="A161">
        <v>97</v>
      </c>
      <c r="B161">
        <v>1.1317470000000001</v>
      </c>
      <c r="C161">
        <v>95</v>
      </c>
      <c r="D161">
        <v>1.127785</v>
      </c>
      <c r="E161">
        <v>90</v>
      </c>
      <c r="F161">
        <v>1.1210720000000001</v>
      </c>
      <c r="G161" s="8">
        <f t="shared" si="9"/>
        <v>0.43131299999999984</v>
      </c>
      <c r="H161" s="8">
        <f t="shared" si="8"/>
        <v>7070</v>
      </c>
      <c r="I161" s="8"/>
      <c r="J161" s="8"/>
      <c r="K161" s="8"/>
      <c r="M161">
        <v>1.127785</v>
      </c>
      <c r="N161">
        <f t="shared" si="10"/>
        <v>0.43665700000000007</v>
      </c>
      <c r="O161">
        <v>1.1210720000000001</v>
      </c>
      <c r="P161">
        <f t="shared" si="11"/>
        <v>0.44214699999999985</v>
      </c>
    </row>
    <row r="162" spans="1:16" x14ac:dyDescent="0.35">
      <c r="A162">
        <v>96</v>
      </c>
      <c r="B162">
        <v>1.1285160000000001</v>
      </c>
      <c r="C162">
        <v>94</v>
      </c>
      <c r="D162">
        <v>1.1243939999999999</v>
      </c>
      <c r="E162">
        <v>89</v>
      </c>
      <c r="F162">
        <v>1.118498</v>
      </c>
      <c r="G162" s="8">
        <f t="shared" si="9"/>
        <v>0.43454399999999982</v>
      </c>
      <c r="H162" s="8">
        <f t="shared" si="8"/>
        <v>7123</v>
      </c>
      <c r="I162" s="8"/>
      <c r="J162" s="8"/>
      <c r="K162" s="8"/>
      <c r="M162">
        <v>1.1243939999999999</v>
      </c>
      <c r="N162">
        <f t="shared" si="10"/>
        <v>0.44004800000000022</v>
      </c>
      <c r="O162">
        <v>1.118498</v>
      </c>
      <c r="P162">
        <f t="shared" si="11"/>
        <v>0.44472099999999992</v>
      </c>
    </row>
    <row r="163" spans="1:16" x14ac:dyDescent="0.35">
      <c r="A163">
        <v>95</v>
      </c>
      <c r="B163">
        <v>1.12609</v>
      </c>
      <c r="C163">
        <v>93</v>
      </c>
      <c r="D163">
        <v>1.1219859999999999</v>
      </c>
      <c r="E163">
        <v>88</v>
      </c>
      <c r="F163">
        <v>1.115586</v>
      </c>
      <c r="G163" s="8">
        <f t="shared" si="9"/>
        <v>0.43696999999999986</v>
      </c>
      <c r="H163" s="8">
        <f t="shared" si="8"/>
        <v>7163</v>
      </c>
      <c r="I163" s="8"/>
      <c r="J163" s="8"/>
      <c r="K163" s="8"/>
      <c r="M163">
        <v>1.1219859999999999</v>
      </c>
      <c r="N163">
        <f t="shared" si="10"/>
        <v>0.44245600000000018</v>
      </c>
      <c r="O163">
        <v>1.115586</v>
      </c>
      <c r="P163">
        <f t="shared" si="11"/>
        <v>0.44763299999999995</v>
      </c>
    </row>
    <row r="164" spans="1:16" x14ac:dyDescent="0.35">
      <c r="A164">
        <v>94</v>
      </c>
      <c r="B164">
        <v>1.122943</v>
      </c>
      <c r="C164">
        <v>92</v>
      </c>
      <c r="D164">
        <v>1.1189450000000001</v>
      </c>
      <c r="E164">
        <v>87</v>
      </c>
      <c r="F164">
        <v>1.1100369999999999</v>
      </c>
      <c r="G164" s="8">
        <f t="shared" si="9"/>
        <v>0.44011699999999987</v>
      </c>
      <c r="H164" s="8">
        <f t="shared" si="8"/>
        <v>7215</v>
      </c>
      <c r="I164" s="8"/>
      <c r="J164" s="8"/>
      <c r="K164" s="8"/>
      <c r="M164">
        <v>1.1189450000000001</v>
      </c>
      <c r="N164">
        <f t="shared" si="10"/>
        <v>0.44549700000000003</v>
      </c>
      <c r="O164">
        <v>1.1100369999999999</v>
      </c>
      <c r="P164">
        <f t="shared" si="11"/>
        <v>0.45318199999999997</v>
      </c>
    </row>
    <row r="165" spans="1:16" x14ac:dyDescent="0.35">
      <c r="A165">
        <v>93</v>
      </c>
      <c r="B165">
        <v>1.121013</v>
      </c>
      <c r="C165">
        <v>91</v>
      </c>
      <c r="D165">
        <v>1.1154310000000001</v>
      </c>
      <c r="E165">
        <v>86</v>
      </c>
      <c r="F165">
        <v>1.107003</v>
      </c>
      <c r="G165" s="8">
        <f t="shared" si="9"/>
        <v>0.44204699999999986</v>
      </c>
      <c r="H165" s="8">
        <f t="shared" si="8"/>
        <v>7246</v>
      </c>
      <c r="I165" s="8"/>
      <c r="J165" s="8"/>
      <c r="K165" s="8"/>
      <c r="M165">
        <v>1.1154310000000001</v>
      </c>
      <c r="N165">
        <f t="shared" si="10"/>
        <v>0.44901100000000005</v>
      </c>
      <c r="O165">
        <v>1.107003</v>
      </c>
      <c r="P165">
        <f t="shared" si="11"/>
        <v>0.45621599999999995</v>
      </c>
    </row>
    <row r="166" spans="1:16" x14ac:dyDescent="0.35">
      <c r="A166">
        <v>92</v>
      </c>
      <c r="B166">
        <v>1.1177429999999999</v>
      </c>
      <c r="C166">
        <v>90</v>
      </c>
      <c r="D166">
        <v>1.1121449999999999</v>
      </c>
      <c r="E166">
        <v>85</v>
      </c>
      <c r="F166">
        <v>1.1045400000000001</v>
      </c>
      <c r="G166" s="8">
        <f t="shared" si="9"/>
        <v>0.44531699999999996</v>
      </c>
      <c r="H166" s="8">
        <f t="shared" si="8"/>
        <v>7300</v>
      </c>
      <c r="I166" s="8"/>
      <c r="J166" s="8"/>
      <c r="K166" s="8"/>
      <c r="M166">
        <v>1.1121449999999999</v>
      </c>
      <c r="N166">
        <f t="shared" si="10"/>
        <v>0.45229700000000017</v>
      </c>
      <c r="O166">
        <v>1.1045400000000001</v>
      </c>
      <c r="P166">
        <f t="shared" si="11"/>
        <v>0.45867899999999984</v>
      </c>
    </row>
    <row r="167" spans="1:16" x14ac:dyDescent="0.35">
      <c r="A167">
        <v>91</v>
      </c>
      <c r="B167">
        <v>1.1139220000000001</v>
      </c>
      <c r="C167">
        <v>89</v>
      </c>
      <c r="D167">
        <v>1.109783</v>
      </c>
      <c r="E167">
        <v>84</v>
      </c>
      <c r="F167">
        <v>1.1014980000000001</v>
      </c>
      <c r="G167" s="8">
        <f t="shared" si="9"/>
        <v>0.44913799999999982</v>
      </c>
      <c r="H167" s="8">
        <f t="shared" si="8"/>
        <v>7362</v>
      </c>
      <c r="I167" s="8"/>
      <c r="J167" s="8"/>
      <c r="K167" s="8"/>
      <c r="M167">
        <v>1.109783</v>
      </c>
      <c r="N167">
        <f t="shared" si="10"/>
        <v>0.45465900000000015</v>
      </c>
      <c r="O167">
        <v>1.1014980000000001</v>
      </c>
      <c r="P167">
        <f t="shared" si="11"/>
        <v>0.46172099999999983</v>
      </c>
    </row>
    <row r="168" spans="1:16" x14ac:dyDescent="0.35">
      <c r="A168">
        <v>90</v>
      </c>
      <c r="B168">
        <v>1.111024</v>
      </c>
      <c r="C168">
        <v>88</v>
      </c>
      <c r="D168">
        <v>1.1067769999999999</v>
      </c>
      <c r="E168">
        <v>83</v>
      </c>
      <c r="F168">
        <v>1.0984339999999999</v>
      </c>
      <c r="G168" s="8">
        <f t="shared" si="9"/>
        <v>0.45203599999999988</v>
      </c>
      <c r="H168" s="8">
        <f t="shared" si="8"/>
        <v>7410</v>
      </c>
      <c r="I168" s="8"/>
      <c r="J168" s="8"/>
      <c r="K168" s="8"/>
      <c r="M168">
        <v>1.1067769999999999</v>
      </c>
      <c r="N168">
        <f t="shared" si="10"/>
        <v>0.45766500000000021</v>
      </c>
      <c r="O168">
        <v>1.0984339999999999</v>
      </c>
      <c r="P168">
        <f t="shared" si="11"/>
        <v>0.464785</v>
      </c>
    </row>
    <row r="169" spans="1:16" x14ac:dyDescent="0.35">
      <c r="A169">
        <v>89</v>
      </c>
      <c r="B169">
        <v>1.1090519999999999</v>
      </c>
      <c r="C169">
        <v>87</v>
      </c>
      <c r="D169">
        <v>1.1048359999999999</v>
      </c>
      <c r="E169">
        <v>82</v>
      </c>
      <c r="F169">
        <v>1.0954550000000001</v>
      </c>
      <c r="G169" s="8">
        <f t="shared" si="9"/>
        <v>0.45400799999999997</v>
      </c>
      <c r="H169" s="8">
        <f t="shared" si="8"/>
        <v>7442</v>
      </c>
      <c r="I169" s="8"/>
      <c r="J169" s="8"/>
      <c r="K169" s="8"/>
      <c r="M169">
        <v>1.1048359999999999</v>
      </c>
      <c r="N169">
        <f t="shared" si="10"/>
        <v>0.45960600000000018</v>
      </c>
      <c r="O169">
        <v>1.0954550000000001</v>
      </c>
      <c r="P169">
        <f t="shared" si="11"/>
        <v>0.46776399999999985</v>
      </c>
    </row>
    <row r="170" spans="1:16" x14ac:dyDescent="0.35">
      <c r="A170">
        <v>88</v>
      </c>
      <c r="B170">
        <v>1.105896</v>
      </c>
      <c r="C170">
        <v>86</v>
      </c>
      <c r="D170">
        <v>1.101704</v>
      </c>
      <c r="E170">
        <v>81</v>
      </c>
      <c r="F170">
        <v>1.0927260000000001</v>
      </c>
      <c r="G170" s="8">
        <f t="shared" si="9"/>
        <v>0.4571639999999999</v>
      </c>
      <c r="H170" s="8">
        <f t="shared" si="8"/>
        <v>7494</v>
      </c>
      <c r="I170" s="8"/>
      <c r="J170" s="8"/>
      <c r="K170" s="8"/>
      <c r="M170">
        <v>1.101704</v>
      </c>
      <c r="N170">
        <f t="shared" si="10"/>
        <v>0.46273800000000009</v>
      </c>
      <c r="O170">
        <v>1.0927260000000001</v>
      </c>
      <c r="P170">
        <f t="shared" si="11"/>
        <v>0.47049299999999983</v>
      </c>
    </row>
    <row r="171" spans="1:16" x14ac:dyDescent="0.35">
      <c r="A171">
        <v>87</v>
      </c>
      <c r="B171">
        <v>1.103189</v>
      </c>
      <c r="C171">
        <v>85</v>
      </c>
      <c r="D171">
        <v>1.0991219999999999</v>
      </c>
      <c r="E171">
        <v>80</v>
      </c>
      <c r="F171">
        <v>1.0898920000000001</v>
      </c>
      <c r="G171" s="8">
        <f t="shared" si="9"/>
        <v>0.45987099999999992</v>
      </c>
      <c r="H171" s="8">
        <f t="shared" si="8"/>
        <v>7538</v>
      </c>
      <c r="I171" s="8"/>
      <c r="J171" s="8"/>
      <c r="K171" s="8"/>
      <c r="M171">
        <v>1.0991219999999999</v>
      </c>
      <c r="N171">
        <f t="shared" si="10"/>
        <v>0.46532000000000018</v>
      </c>
      <c r="O171">
        <v>1.0898920000000001</v>
      </c>
      <c r="P171">
        <f t="shared" si="11"/>
        <v>0.47332699999999983</v>
      </c>
    </row>
    <row r="172" spans="1:16" x14ac:dyDescent="0.35">
      <c r="A172">
        <v>86</v>
      </c>
      <c r="B172">
        <v>1.0999620000000001</v>
      </c>
      <c r="C172">
        <v>84</v>
      </c>
      <c r="D172">
        <v>1.096066</v>
      </c>
      <c r="E172">
        <v>79</v>
      </c>
      <c r="F172">
        <v>1.085342</v>
      </c>
      <c r="G172" s="8">
        <f t="shared" si="9"/>
        <v>0.46309799999999979</v>
      </c>
      <c r="H172" s="8">
        <f t="shared" si="8"/>
        <v>7591</v>
      </c>
      <c r="I172" s="8"/>
      <c r="J172" s="8"/>
      <c r="K172" s="8"/>
      <c r="M172">
        <v>1.096066</v>
      </c>
      <c r="N172">
        <f t="shared" si="10"/>
        <v>0.46837600000000013</v>
      </c>
      <c r="O172">
        <v>1.085342</v>
      </c>
      <c r="P172">
        <f t="shared" si="11"/>
        <v>0.47787699999999989</v>
      </c>
    </row>
    <row r="173" spans="1:16" x14ac:dyDescent="0.35">
      <c r="A173">
        <v>85</v>
      </c>
      <c r="B173">
        <v>1.098088</v>
      </c>
      <c r="C173">
        <v>83</v>
      </c>
      <c r="D173">
        <v>1.092406</v>
      </c>
      <c r="E173">
        <v>78</v>
      </c>
      <c r="F173">
        <v>1.0823830000000001</v>
      </c>
      <c r="G173" s="8">
        <f t="shared" si="9"/>
        <v>0.46497199999999994</v>
      </c>
      <c r="H173" s="8">
        <f t="shared" si="8"/>
        <v>7622</v>
      </c>
      <c r="I173" s="8"/>
      <c r="J173" s="8"/>
      <c r="K173" s="8"/>
      <c r="M173">
        <v>1.092406</v>
      </c>
      <c r="N173">
        <f t="shared" si="10"/>
        <v>0.47203600000000012</v>
      </c>
      <c r="O173">
        <v>1.0823830000000001</v>
      </c>
      <c r="P173">
        <f t="shared" si="11"/>
        <v>0.48083599999999982</v>
      </c>
    </row>
    <row r="174" spans="1:16" x14ac:dyDescent="0.35">
      <c r="A174">
        <v>84</v>
      </c>
      <c r="B174">
        <v>1.0948880000000001</v>
      </c>
      <c r="C174">
        <v>82</v>
      </c>
      <c r="D174">
        <v>1.0893489999999999</v>
      </c>
      <c r="E174">
        <v>77</v>
      </c>
      <c r="F174">
        <v>1.0795269999999999</v>
      </c>
      <c r="G174" s="8">
        <f t="shared" si="9"/>
        <v>0.46817199999999981</v>
      </c>
      <c r="H174" s="8">
        <f t="shared" si="8"/>
        <v>7674</v>
      </c>
      <c r="I174" s="8"/>
      <c r="J174" s="8"/>
      <c r="K174" s="8"/>
      <c r="M174">
        <v>1.0893489999999999</v>
      </c>
      <c r="N174">
        <f t="shared" si="10"/>
        <v>0.47509300000000021</v>
      </c>
      <c r="O174">
        <v>1.0795269999999999</v>
      </c>
      <c r="P174">
        <f t="shared" si="11"/>
        <v>0.48369200000000001</v>
      </c>
    </row>
    <row r="175" spans="1:16" x14ac:dyDescent="0.35">
      <c r="A175">
        <v>83</v>
      </c>
      <c r="B175">
        <v>1.091202</v>
      </c>
      <c r="C175">
        <v>81</v>
      </c>
      <c r="D175">
        <v>1.0868420000000001</v>
      </c>
      <c r="E175">
        <v>76</v>
      </c>
      <c r="F175">
        <v>1.0766150000000001</v>
      </c>
      <c r="G175" s="8">
        <f t="shared" si="9"/>
        <v>0.47185799999999989</v>
      </c>
      <c r="H175" s="8">
        <f t="shared" si="8"/>
        <v>7735</v>
      </c>
      <c r="I175" s="8"/>
      <c r="J175" s="8"/>
      <c r="K175" s="8"/>
      <c r="M175">
        <v>1.0868420000000001</v>
      </c>
      <c r="N175">
        <f t="shared" si="10"/>
        <v>0.47760000000000002</v>
      </c>
      <c r="O175">
        <v>1.0766150000000001</v>
      </c>
      <c r="P175">
        <f t="shared" si="11"/>
        <v>0.48660399999999981</v>
      </c>
    </row>
    <row r="176" spans="1:16" x14ac:dyDescent="0.35">
      <c r="A176">
        <v>82</v>
      </c>
      <c r="B176">
        <v>1.08792</v>
      </c>
      <c r="C176">
        <v>80</v>
      </c>
      <c r="D176">
        <v>1.0837030000000001</v>
      </c>
      <c r="E176">
        <v>75</v>
      </c>
      <c r="F176">
        <v>1.0735030000000001</v>
      </c>
      <c r="G176" s="8">
        <f t="shared" si="9"/>
        <v>0.4751399999999999</v>
      </c>
      <c r="H176" s="8">
        <f t="shared" si="8"/>
        <v>7789</v>
      </c>
      <c r="I176" s="8"/>
      <c r="J176" s="8"/>
      <c r="K176" s="8"/>
      <c r="M176">
        <v>1.0837030000000001</v>
      </c>
      <c r="N176">
        <f t="shared" si="10"/>
        <v>0.48073900000000003</v>
      </c>
      <c r="O176">
        <v>1.0735030000000001</v>
      </c>
      <c r="P176">
        <f t="shared" si="11"/>
        <v>0.48971599999999982</v>
      </c>
    </row>
    <row r="177" spans="1:16" x14ac:dyDescent="0.35">
      <c r="A177">
        <v>81</v>
      </c>
      <c r="B177">
        <v>1.086263</v>
      </c>
      <c r="C177">
        <v>79</v>
      </c>
      <c r="D177">
        <v>1.0796410000000001</v>
      </c>
      <c r="E177">
        <v>74</v>
      </c>
      <c r="F177">
        <v>1.0705579999999999</v>
      </c>
      <c r="G177" s="8">
        <f t="shared" si="9"/>
        <v>0.47679699999999992</v>
      </c>
      <c r="H177" s="8">
        <f t="shared" si="8"/>
        <v>7816</v>
      </c>
      <c r="I177" s="8"/>
      <c r="J177" s="8"/>
      <c r="K177" s="8"/>
      <c r="M177">
        <v>1.0796410000000001</v>
      </c>
      <c r="N177">
        <f t="shared" si="10"/>
        <v>0.48480100000000004</v>
      </c>
      <c r="O177">
        <v>1.0705579999999999</v>
      </c>
      <c r="P177">
        <f t="shared" si="11"/>
        <v>0.49266100000000002</v>
      </c>
    </row>
    <row r="178" spans="1:16" x14ac:dyDescent="0.35">
      <c r="A178">
        <v>80</v>
      </c>
      <c r="B178">
        <v>1.082919</v>
      </c>
      <c r="C178">
        <v>78</v>
      </c>
      <c r="D178">
        <v>1.0766560000000001</v>
      </c>
      <c r="E178">
        <v>73</v>
      </c>
      <c r="F178">
        <v>1.0679510000000001</v>
      </c>
      <c r="G178" s="8">
        <f t="shared" si="9"/>
        <v>0.48014099999999993</v>
      </c>
      <c r="H178" s="8">
        <f t="shared" si="8"/>
        <v>7871</v>
      </c>
      <c r="I178" s="8"/>
      <c r="J178" s="8"/>
      <c r="K178" s="8"/>
      <c r="M178">
        <v>1.0766560000000001</v>
      </c>
      <c r="N178">
        <f t="shared" si="10"/>
        <v>0.48778600000000005</v>
      </c>
      <c r="O178">
        <v>1.0679510000000001</v>
      </c>
      <c r="P178">
        <f t="shared" si="11"/>
        <v>0.49526799999999982</v>
      </c>
    </row>
    <row r="179" spans="1:16" x14ac:dyDescent="0.35">
      <c r="A179">
        <v>79</v>
      </c>
      <c r="B179">
        <v>1.0779730000000001</v>
      </c>
      <c r="C179">
        <v>77</v>
      </c>
      <c r="D179">
        <v>1.0740479999999999</v>
      </c>
      <c r="E179">
        <v>72</v>
      </c>
      <c r="F179">
        <v>1.0647949999999999</v>
      </c>
      <c r="G179" s="8">
        <f t="shared" si="9"/>
        <v>0.48508699999999982</v>
      </c>
      <c r="H179" s="8">
        <f t="shared" si="8"/>
        <v>7952</v>
      </c>
      <c r="I179" s="8"/>
      <c r="J179" s="8"/>
      <c r="K179" s="8"/>
      <c r="M179">
        <v>1.0740479999999999</v>
      </c>
      <c r="N179">
        <f t="shared" si="10"/>
        <v>0.49039400000000022</v>
      </c>
      <c r="O179">
        <v>1.0647949999999999</v>
      </c>
      <c r="P179">
        <f t="shared" si="11"/>
        <v>0.49842399999999998</v>
      </c>
    </row>
    <row r="180" spans="1:16" x14ac:dyDescent="0.35">
      <c r="A180">
        <v>78</v>
      </c>
      <c r="B180">
        <v>1.074708</v>
      </c>
      <c r="C180">
        <v>76</v>
      </c>
      <c r="D180">
        <v>1.0709340000000001</v>
      </c>
      <c r="E180">
        <v>71</v>
      </c>
      <c r="F180">
        <v>1.0592619999999999</v>
      </c>
      <c r="G180" s="8">
        <f t="shared" si="9"/>
        <v>0.4883519999999999</v>
      </c>
      <c r="H180" s="8">
        <f t="shared" si="8"/>
        <v>8005</v>
      </c>
      <c r="I180" s="8"/>
      <c r="J180" s="8"/>
      <c r="K180" s="8"/>
      <c r="M180">
        <v>1.0709340000000001</v>
      </c>
      <c r="N180">
        <f t="shared" si="10"/>
        <v>0.49350800000000006</v>
      </c>
      <c r="O180">
        <v>1.0592619999999999</v>
      </c>
      <c r="P180">
        <f t="shared" si="11"/>
        <v>0.50395699999999999</v>
      </c>
    </row>
    <row r="181" spans="1:16" x14ac:dyDescent="0.35">
      <c r="A181">
        <v>77</v>
      </c>
      <c r="B181">
        <v>1.072743</v>
      </c>
      <c r="C181">
        <v>75</v>
      </c>
      <c r="D181">
        <v>1.067331</v>
      </c>
      <c r="E181">
        <v>70</v>
      </c>
      <c r="F181">
        <v>1.0564480000000001</v>
      </c>
      <c r="G181" s="8">
        <f t="shared" si="9"/>
        <v>0.49031699999999989</v>
      </c>
      <c r="H181" s="8">
        <f t="shared" si="8"/>
        <v>8037</v>
      </c>
      <c r="I181" s="8"/>
      <c r="J181" s="8"/>
      <c r="K181" s="8"/>
      <c r="M181">
        <v>1.067331</v>
      </c>
      <c r="N181">
        <f t="shared" si="10"/>
        <v>0.49711100000000008</v>
      </c>
      <c r="O181">
        <v>1.0564480000000001</v>
      </c>
      <c r="P181">
        <f t="shared" si="11"/>
        <v>0.50677099999999986</v>
      </c>
    </row>
    <row r="182" spans="1:16" x14ac:dyDescent="0.35">
      <c r="A182">
        <v>76</v>
      </c>
      <c r="B182">
        <v>1.0696000000000001</v>
      </c>
      <c r="C182">
        <v>74</v>
      </c>
      <c r="D182">
        <v>1.0642469999999999</v>
      </c>
      <c r="E182">
        <v>69</v>
      </c>
      <c r="F182">
        <v>1.05372</v>
      </c>
      <c r="G182" s="8">
        <f t="shared" si="9"/>
        <v>0.49345999999999979</v>
      </c>
      <c r="H182" s="8">
        <f t="shared" si="8"/>
        <v>8089</v>
      </c>
      <c r="I182" s="8"/>
      <c r="J182" s="8"/>
      <c r="K182" s="8"/>
      <c r="M182">
        <v>1.0642469999999999</v>
      </c>
      <c r="N182">
        <f t="shared" si="10"/>
        <v>0.50019500000000017</v>
      </c>
      <c r="O182">
        <v>1.05372</v>
      </c>
      <c r="P182">
        <f t="shared" si="11"/>
        <v>0.50949899999999992</v>
      </c>
    </row>
    <row r="183" spans="1:16" x14ac:dyDescent="0.35">
      <c r="A183">
        <v>75</v>
      </c>
      <c r="B183">
        <v>1.065806</v>
      </c>
      <c r="C183">
        <v>73</v>
      </c>
      <c r="D183">
        <v>1.0616099999999999</v>
      </c>
      <c r="E183">
        <v>68</v>
      </c>
      <c r="F183">
        <v>1.05067</v>
      </c>
      <c r="G183" s="8">
        <f t="shared" si="9"/>
        <v>0.49725399999999986</v>
      </c>
      <c r="H183" s="8">
        <f t="shared" si="8"/>
        <v>8151</v>
      </c>
      <c r="I183" s="8"/>
      <c r="J183" s="8"/>
      <c r="K183" s="8"/>
      <c r="M183">
        <v>1.0616099999999999</v>
      </c>
      <c r="N183">
        <f t="shared" si="10"/>
        <v>0.50283200000000017</v>
      </c>
      <c r="O183">
        <v>1.05067</v>
      </c>
      <c r="P183">
        <f t="shared" si="11"/>
        <v>0.51254899999999992</v>
      </c>
    </row>
    <row r="184" spans="1:16" x14ac:dyDescent="0.35">
      <c r="A184">
        <v>74</v>
      </c>
      <c r="B184">
        <v>1.0625579999999999</v>
      </c>
      <c r="C184">
        <v>72</v>
      </c>
      <c r="D184">
        <v>1.0586450000000001</v>
      </c>
      <c r="E184">
        <v>67</v>
      </c>
      <c r="F184">
        <v>1.0475840000000001</v>
      </c>
      <c r="G184" s="8">
        <f t="shared" si="9"/>
        <v>0.500502</v>
      </c>
      <c r="H184" s="8">
        <f t="shared" si="8"/>
        <v>8204</v>
      </c>
      <c r="I184" s="8"/>
      <c r="J184" s="8"/>
      <c r="K184" s="8"/>
      <c r="M184">
        <v>1.0586450000000001</v>
      </c>
      <c r="N184">
        <f t="shared" si="10"/>
        <v>0.50579700000000005</v>
      </c>
      <c r="O184">
        <v>1.0475840000000001</v>
      </c>
      <c r="P184">
        <f t="shared" si="11"/>
        <v>0.51563499999999984</v>
      </c>
    </row>
    <row r="185" spans="1:16" x14ac:dyDescent="0.35">
      <c r="A185">
        <v>73</v>
      </c>
      <c r="B185">
        <v>1.060762</v>
      </c>
      <c r="C185">
        <v>71</v>
      </c>
      <c r="D185">
        <v>1.056568</v>
      </c>
      <c r="E185">
        <v>66</v>
      </c>
      <c r="F185">
        <v>1.0446279999999999</v>
      </c>
      <c r="G185" s="8">
        <f t="shared" si="9"/>
        <v>0.50229799999999991</v>
      </c>
      <c r="H185" s="8">
        <f t="shared" si="8"/>
        <v>8234</v>
      </c>
      <c r="I185" s="8"/>
      <c r="J185" s="8"/>
      <c r="K185" s="8"/>
      <c r="M185">
        <v>1.056568</v>
      </c>
      <c r="N185">
        <f t="shared" si="10"/>
        <v>0.50787400000000016</v>
      </c>
      <c r="O185">
        <v>1.0446279999999999</v>
      </c>
      <c r="P185">
        <f t="shared" si="11"/>
        <v>0.51859100000000002</v>
      </c>
    </row>
    <row r="186" spans="1:16" x14ac:dyDescent="0.35">
      <c r="A186">
        <v>72</v>
      </c>
      <c r="B186">
        <v>1.057631</v>
      </c>
      <c r="C186">
        <v>70</v>
      </c>
      <c r="D186">
        <v>1.0534950000000001</v>
      </c>
      <c r="E186">
        <v>65</v>
      </c>
      <c r="F186">
        <v>1.0419400000000001</v>
      </c>
      <c r="G186" s="8">
        <f t="shared" si="9"/>
        <v>0.50542899999999991</v>
      </c>
      <c r="H186" s="8">
        <f t="shared" si="8"/>
        <v>8285</v>
      </c>
      <c r="I186" s="8"/>
      <c r="J186" s="8"/>
      <c r="K186" s="8"/>
      <c r="M186">
        <v>1.0534950000000001</v>
      </c>
      <c r="N186">
        <f t="shared" si="10"/>
        <v>0.51094700000000004</v>
      </c>
      <c r="O186">
        <v>1.0419400000000001</v>
      </c>
      <c r="P186">
        <f t="shared" si="11"/>
        <v>0.52127899999999983</v>
      </c>
    </row>
    <row r="187" spans="1:16" x14ac:dyDescent="0.35">
      <c r="A187">
        <v>71</v>
      </c>
      <c r="B187">
        <v>1.055013</v>
      </c>
      <c r="C187">
        <v>69</v>
      </c>
      <c r="D187">
        <v>1.050805</v>
      </c>
      <c r="E187">
        <v>64</v>
      </c>
      <c r="F187">
        <v>1.0389349999999999</v>
      </c>
      <c r="G187" s="8">
        <f t="shared" si="9"/>
        <v>0.50804699999999992</v>
      </c>
      <c r="H187" s="8">
        <f t="shared" si="8"/>
        <v>8328</v>
      </c>
      <c r="I187" s="8"/>
      <c r="J187" s="8"/>
      <c r="K187" s="8"/>
      <c r="M187">
        <v>1.050805</v>
      </c>
      <c r="N187">
        <f t="shared" si="10"/>
        <v>0.51363700000000012</v>
      </c>
      <c r="O187">
        <v>1.0389349999999999</v>
      </c>
      <c r="P187">
        <f t="shared" si="11"/>
        <v>0.52428399999999997</v>
      </c>
    </row>
    <row r="188" spans="1:16" x14ac:dyDescent="0.35">
      <c r="A188">
        <v>70</v>
      </c>
      <c r="B188">
        <v>1.051668</v>
      </c>
      <c r="C188">
        <v>68</v>
      </c>
      <c r="D188">
        <v>1.0479259999999999</v>
      </c>
      <c r="E188">
        <v>63</v>
      </c>
      <c r="F188">
        <v>1.0452109999999999</v>
      </c>
      <c r="G188" s="8">
        <f t="shared" si="9"/>
        <v>0.51139199999999985</v>
      </c>
      <c r="H188" s="8">
        <f t="shared" si="8"/>
        <v>8383</v>
      </c>
      <c r="I188" s="8"/>
      <c r="J188" s="8"/>
      <c r="K188" s="8"/>
      <c r="M188">
        <v>1.0479259999999999</v>
      </c>
      <c r="N188">
        <f t="shared" si="10"/>
        <v>0.5165160000000002</v>
      </c>
      <c r="O188">
        <v>1.0452109999999999</v>
      </c>
      <c r="P188">
        <f t="shared" si="11"/>
        <v>0.51800800000000002</v>
      </c>
    </row>
    <row r="189" spans="1:16" x14ac:dyDescent="0.35">
      <c r="A189">
        <v>69</v>
      </c>
      <c r="B189">
        <v>1.049798</v>
      </c>
      <c r="C189">
        <v>67</v>
      </c>
      <c r="D189">
        <v>1.0442450000000001</v>
      </c>
      <c r="E189">
        <v>62</v>
      </c>
      <c r="F189">
        <v>1.0422940000000001</v>
      </c>
      <c r="G189" s="8">
        <f t="shared" si="9"/>
        <v>0.51326199999999988</v>
      </c>
      <c r="H189" s="8">
        <f t="shared" si="8"/>
        <v>8414</v>
      </c>
      <c r="I189" s="8"/>
      <c r="J189" s="8"/>
      <c r="K189" s="8"/>
      <c r="M189">
        <v>1.0442450000000001</v>
      </c>
      <c r="N189">
        <f t="shared" si="10"/>
        <v>0.52019700000000002</v>
      </c>
      <c r="O189">
        <v>1.0422940000000001</v>
      </c>
      <c r="P189">
        <f t="shared" si="11"/>
        <v>0.52092499999999986</v>
      </c>
    </row>
    <row r="190" spans="1:16" x14ac:dyDescent="0.35">
      <c r="A190">
        <v>68</v>
      </c>
      <c r="B190">
        <v>1.046664</v>
      </c>
      <c r="C190">
        <v>66</v>
      </c>
      <c r="D190">
        <v>1.041021</v>
      </c>
      <c r="E190">
        <v>61</v>
      </c>
      <c r="F190">
        <v>1.039461</v>
      </c>
      <c r="G190" s="8">
        <f t="shared" si="9"/>
        <v>0.51639599999999986</v>
      </c>
      <c r="H190" s="8">
        <f t="shared" si="8"/>
        <v>8465</v>
      </c>
      <c r="I190" s="8"/>
      <c r="J190" s="8"/>
      <c r="K190" s="8"/>
      <c r="M190">
        <v>1.041021</v>
      </c>
      <c r="N190">
        <f t="shared" si="10"/>
        <v>0.52342100000000014</v>
      </c>
      <c r="O190">
        <v>1.039461</v>
      </c>
      <c r="P190">
        <f t="shared" si="11"/>
        <v>0.52375799999999995</v>
      </c>
    </row>
    <row r="191" spans="1:16" x14ac:dyDescent="0.35">
      <c r="A191">
        <v>67</v>
      </c>
      <c r="B191">
        <v>1.04291</v>
      </c>
      <c r="C191">
        <v>65</v>
      </c>
      <c r="D191">
        <v>1.038537</v>
      </c>
      <c r="E191">
        <v>60</v>
      </c>
      <c r="F191">
        <v>1.036586</v>
      </c>
      <c r="G191" s="8">
        <f t="shared" si="9"/>
        <v>0.52014999999999989</v>
      </c>
      <c r="H191" s="8">
        <f t="shared" si="8"/>
        <v>8527</v>
      </c>
      <c r="I191" s="8"/>
      <c r="J191" s="8"/>
      <c r="K191" s="8"/>
      <c r="M191">
        <v>1.038537</v>
      </c>
      <c r="N191">
        <f t="shared" si="10"/>
        <v>0.52590500000000007</v>
      </c>
      <c r="O191">
        <v>1.036586</v>
      </c>
      <c r="P191">
        <f t="shared" si="11"/>
        <v>0.52663299999999991</v>
      </c>
    </row>
    <row r="192" spans="1:16" x14ac:dyDescent="0.35">
      <c r="A192">
        <v>66</v>
      </c>
      <c r="B192">
        <v>1.0396590000000001</v>
      </c>
      <c r="C192">
        <v>64</v>
      </c>
      <c r="D192">
        <v>1.0354049999999999</v>
      </c>
      <c r="E192">
        <v>59</v>
      </c>
      <c r="F192">
        <v>1.0336350000000001</v>
      </c>
      <c r="G192" s="8">
        <f t="shared" si="9"/>
        <v>0.52340099999999978</v>
      </c>
      <c r="H192" s="8">
        <f t="shared" si="8"/>
        <v>8580</v>
      </c>
      <c r="I192" s="8"/>
      <c r="J192" s="8"/>
      <c r="K192" s="8"/>
      <c r="M192">
        <v>1.0354049999999999</v>
      </c>
      <c r="N192">
        <f t="shared" si="10"/>
        <v>0.5290370000000002</v>
      </c>
      <c r="O192">
        <v>1.0336350000000001</v>
      </c>
      <c r="P192">
        <f t="shared" si="11"/>
        <v>0.52958399999999983</v>
      </c>
    </row>
    <row r="193" spans="1:16" x14ac:dyDescent="0.35">
      <c r="A193">
        <v>65</v>
      </c>
      <c r="B193">
        <v>1.037776</v>
      </c>
      <c r="C193">
        <v>63</v>
      </c>
      <c r="D193">
        <v>1.038867</v>
      </c>
      <c r="E193">
        <v>58</v>
      </c>
      <c r="F193">
        <v>1.0306029999999999</v>
      </c>
      <c r="G193" s="8">
        <f t="shared" si="9"/>
        <v>0.52528399999999986</v>
      </c>
      <c r="H193" s="8">
        <f t="shared" si="8"/>
        <v>8611</v>
      </c>
      <c r="I193" s="8"/>
      <c r="J193" s="8"/>
      <c r="K193" s="8"/>
      <c r="M193">
        <v>1.038867</v>
      </c>
      <c r="N193">
        <f t="shared" si="10"/>
        <v>0.52557500000000013</v>
      </c>
      <c r="O193">
        <v>1.0306029999999999</v>
      </c>
      <c r="P193">
        <f t="shared" si="11"/>
        <v>0.53261599999999998</v>
      </c>
    </row>
    <row r="194" spans="1:16" x14ac:dyDescent="0.35">
      <c r="A194">
        <v>64</v>
      </c>
      <c r="B194">
        <v>1.0345230000000001</v>
      </c>
      <c r="C194">
        <v>62</v>
      </c>
      <c r="D194">
        <v>1.0357369999999999</v>
      </c>
      <c r="E194">
        <v>57</v>
      </c>
      <c r="F194">
        <v>1.0277050000000001</v>
      </c>
      <c r="G194" s="8">
        <f t="shared" si="9"/>
        <v>0.52853699999999981</v>
      </c>
      <c r="H194" s="8">
        <f t="shared" si="8"/>
        <v>8664</v>
      </c>
      <c r="I194" s="8"/>
      <c r="J194" s="8"/>
      <c r="K194" s="8"/>
      <c r="M194">
        <v>1.0357369999999999</v>
      </c>
      <c r="N194">
        <f t="shared" si="10"/>
        <v>0.5287050000000002</v>
      </c>
      <c r="O194">
        <v>1.0277050000000001</v>
      </c>
      <c r="P194">
        <f t="shared" si="11"/>
        <v>0.53551399999999982</v>
      </c>
    </row>
    <row r="195" spans="1:16" x14ac:dyDescent="0.35">
      <c r="A195">
        <v>63</v>
      </c>
      <c r="B195">
        <v>1.0351570000000001</v>
      </c>
      <c r="C195">
        <v>61</v>
      </c>
      <c r="D195">
        <v>1.033099</v>
      </c>
      <c r="E195">
        <v>56</v>
      </c>
      <c r="F195">
        <v>1.0247649999999999</v>
      </c>
      <c r="G195" s="8">
        <f t="shared" si="9"/>
        <v>0.52790299999999979</v>
      </c>
      <c r="H195" s="8">
        <f t="shared" si="8"/>
        <v>8654</v>
      </c>
      <c r="I195" s="8"/>
      <c r="J195" s="8"/>
      <c r="K195" s="8"/>
      <c r="M195">
        <v>1.033099</v>
      </c>
      <c r="N195">
        <f t="shared" si="10"/>
        <v>0.53134300000000012</v>
      </c>
      <c r="O195">
        <v>1.0247649999999999</v>
      </c>
      <c r="P195">
        <f t="shared" si="11"/>
        <v>0.53845399999999999</v>
      </c>
    </row>
    <row r="196" spans="1:16" x14ac:dyDescent="0.35">
      <c r="A196">
        <v>62</v>
      </c>
      <c r="B196">
        <v>1.031933</v>
      </c>
      <c r="C196">
        <v>60</v>
      </c>
      <c r="D196">
        <v>1.0301100000000001</v>
      </c>
      <c r="E196">
        <v>55</v>
      </c>
      <c r="F196">
        <v>1.0192289999999999</v>
      </c>
      <c r="G196" s="8">
        <f t="shared" si="9"/>
        <v>0.5311269999999999</v>
      </c>
      <c r="H196" s="8">
        <f t="shared" si="8"/>
        <v>8707</v>
      </c>
      <c r="I196" s="8"/>
      <c r="J196" s="8"/>
      <c r="K196" s="8"/>
      <c r="M196">
        <v>1.0301100000000001</v>
      </c>
      <c r="N196">
        <f t="shared" si="10"/>
        <v>0.53433200000000003</v>
      </c>
      <c r="O196">
        <v>1.0192289999999999</v>
      </c>
      <c r="P196">
        <f t="shared" si="11"/>
        <v>0.54398999999999997</v>
      </c>
    </row>
    <row r="197" spans="1:16" x14ac:dyDescent="0.35">
      <c r="A197">
        <v>61</v>
      </c>
      <c r="B197">
        <v>1.03006</v>
      </c>
      <c r="C197">
        <v>59</v>
      </c>
      <c r="D197">
        <v>1.0266519999999999</v>
      </c>
      <c r="E197">
        <v>54</v>
      </c>
      <c r="F197">
        <v>1.016375</v>
      </c>
      <c r="G197" s="8">
        <f t="shared" si="9"/>
        <v>0.53299999999999992</v>
      </c>
      <c r="H197" s="8">
        <f t="shared" ref="H197:H258" si="12">INT(G197/(6.1*10^(-5)))</f>
        <v>8737</v>
      </c>
      <c r="I197" s="8"/>
      <c r="J197" s="8"/>
      <c r="K197" s="8"/>
      <c r="M197">
        <v>1.0266519999999999</v>
      </c>
      <c r="N197">
        <f t="shared" si="10"/>
        <v>0.53779000000000021</v>
      </c>
      <c r="O197">
        <v>1.016375</v>
      </c>
      <c r="P197">
        <f t="shared" si="11"/>
        <v>0.54684399999999989</v>
      </c>
    </row>
    <row r="198" spans="1:16" x14ac:dyDescent="0.35">
      <c r="A198">
        <v>60</v>
      </c>
      <c r="B198">
        <v>1.0267200000000001</v>
      </c>
      <c r="C198">
        <v>58</v>
      </c>
      <c r="D198">
        <v>1.023398</v>
      </c>
      <c r="E198">
        <v>53</v>
      </c>
      <c r="F198">
        <v>1.013679</v>
      </c>
      <c r="G198" s="8">
        <f t="shared" ref="G198:G258" si="13">G197+(B197-B198)</f>
        <v>0.53633999999999982</v>
      </c>
      <c r="H198" s="8">
        <f t="shared" si="12"/>
        <v>8792</v>
      </c>
      <c r="I198" s="8"/>
      <c r="J198" s="8"/>
      <c r="K198" s="8"/>
      <c r="M198">
        <v>1.023398</v>
      </c>
      <c r="N198">
        <f t="shared" ref="N198:N258" si="14">N197+(M197-M198)</f>
        <v>0.54104400000000008</v>
      </c>
      <c r="O198">
        <v>1.013679</v>
      </c>
      <c r="P198">
        <f t="shared" ref="P198:P251" si="15">P197+(O197-O198)</f>
        <v>0.54953999999999992</v>
      </c>
    </row>
    <row r="199" spans="1:16" x14ac:dyDescent="0.35">
      <c r="A199">
        <v>59</v>
      </c>
      <c r="B199">
        <v>1.0230520000000001</v>
      </c>
      <c r="C199">
        <v>57</v>
      </c>
      <c r="D199">
        <v>1.0206729999999999</v>
      </c>
      <c r="E199">
        <v>52</v>
      </c>
      <c r="F199">
        <v>1.0104089999999999</v>
      </c>
      <c r="G199" s="8">
        <f t="shared" si="13"/>
        <v>0.54000799999999982</v>
      </c>
      <c r="H199" s="8">
        <f t="shared" si="12"/>
        <v>8852</v>
      </c>
      <c r="I199" s="8"/>
      <c r="J199" s="8"/>
      <c r="K199" s="8"/>
      <c r="M199">
        <v>1.0206729999999999</v>
      </c>
      <c r="N199">
        <f t="shared" si="14"/>
        <v>0.54376900000000017</v>
      </c>
      <c r="O199">
        <v>1.0104089999999999</v>
      </c>
      <c r="P199">
        <f t="shared" si="15"/>
        <v>0.55281000000000002</v>
      </c>
    </row>
    <row r="200" spans="1:16" x14ac:dyDescent="0.35">
      <c r="A200">
        <v>58</v>
      </c>
      <c r="B200">
        <v>1.0198160000000001</v>
      </c>
      <c r="C200">
        <v>56</v>
      </c>
      <c r="D200">
        <v>1.0175959999999999</v>
      </c>
      <c r="E200">
        <v>51</v>
      </c>
      <c r="F200">
        <v>1.0074110000000001</v>
      </c>
      <c r="G200" s="8">
        <f t="shared" si="13"/>
        <v>0.54324399999999984</v>
      </c>
      <c r="H200" s="8">
        <f t="shared" si="12"/>
        <v>8905</v>
      </c>
      <c r="I200" s="8"/>
      <c r="J200" s="8"/>
      <c r="K200" s="8"/>
      <c r="M200">
        <v>1.0175959999999999</v>
      </c>
      <c r="N200">
        <f t="shared" si="14"/>
        <v>0.54684600000000017</v>
      </c>
      <c r="O200">
        <v>1.0074110000000001</v>
      </c>
      <c r="P200">
        <f t="shared" si="15"/>
        <v>0.55580799999999986</v>
      </c>
    </row>
    <row r="201" spans="1:16" x14ac:dyDescent="0.35">
      <c r="A201">
        <v>57</v>
      </c>
      <c r="B201">
        <v>1.0180020000000001</v>
      </c>
      <c r="C201">
        <v>55</v>
      </c>
      <c r="D201">
        <v>1.0157050000000001</v>
      </c>
      <c r="E201">
        <v>50</v>
      </c>
      <c r="F201">
        <v>1.0044709999999999</v>
      </c>
      <c r="G201" s="8">
        <f t="shared" si="13"/>
        <v>0.54505799999999982</v>
      </c>
      <c r="H201" s="8">
        <f t="shared" si="12"/>
        <v>8935</v>
      </c>
      <c r="I201" s="8"/>
      <c r="J201" s="8"/>
      <c r="K201" s="8"/>
      <c r="M201">
        <v>1.0157050000000001</v>
      </c>
      <c r="N201">
        <f t="shared" si="14"/>
        <v>0.54873700000000003</v>
      </c>
      <c r="O201">
        <v>1.0044709999999999</v>
      </c>
      <c r="P201">
        <f t="shared" si="15"/>
        <v>0.55874800000000002</v>
      </c>
    </row>
    <row r="202" spans="1:16" x14ac:dyDescent="0.35">
      <c r="A202">
        <v>56</v>
      </c>
      <c r="B202">
        <v>1.0147250000000001</v>
      </c>
      <c r="C202">
        <v>54</v>
      </c>
      <c r="D202">
        <v>1.01247</v>
      </c>
      <c r="E202">
        <v>49</v>
      </c>
      <c r="F202">
        <v>1.001557</v>
      </c>
      <c r="G202" s="8">
        <f t="shared" si="13"/>
        <v>0.54833499999999979</v>
      </c>
      <c r="H202" s="8">
        <f t="shared" si="12"/>
        <v>8989</v>
      </c>
      <c r="I202" s="8"/>
      <c r="J202" s="8"/>
      <c r="K202" s="8"/>
      <c r="M202">
        <v>1.01247</v>
      </c>
      <c r="N202">
        <f t="shared" si="14"/>
        <v>0.55197200000000013</v>
      </c>
      <c r="O202">
        <v>1.001557</v>
      </c>
      <c r="P202">
        <f t="shared" si="15"/>
        <v>0.56166199999999988</v>
      </c>
    </row>
    <row r="203" spans="1:16" x14ac:dyDescent="0.35">
      <c r="A203">
        <v>55</v>
      </c>
      <c r="B203">
        <v>1.0120290000000001</v>
      </c>
      <c r="C203">
        <v>53</v>
      </c>
      <c r="D203">
        <v>1.0099819999999999</v>
      </c>
      <c r="E203">
        <v>48</v>
      </c>
      <c r="F203">
        <v>0.99834800000000001</v>
      </c>
      <c r="G203" s="8">
        <f t="shared" si="13"/>
        <v>0.55103099999999983</v>
      </c>
      <c r="H203" s="8">
        <f t="shared" si="12"/>
        <v>9033</v>
      </c>
      <c r="I203" s="8"/>
      <c r="J203" s="8"/>
      <c r="K203" s="8"/>
      <c r="M203">
        <v>1.0099819999999999</v>
      </c>
      <c r="N203">
        <f t="shared" si="14"/>
        <v>0.55446000000000017</v>
      </c>
      <c r="O203">
        <v>0.99834800000000001</v>
      </c>
      <c r="P203">
        <f t="shared" si="15"/>
        <v>0.5648709999999999</v>
      </c>
    </row>
    <row r="204" spans="1:16" x14ac:dyDescent="0.35">
      <c r="A204">
        <v>54</v>
      </c>
      <c r="B204">
        <v>1.0087200000000001</v>
      </c>
      <c r="C204">
        <v>52</v>
      </c>
      <c r="D204">
        <v>1.006896</v>
      </c>
      <c r="E204">
        <v>47</v>
      </c>
      <c r="F204">
        <v>0.99385800000000002</v>
      </c>
      <c r="G204" s="8">
        <f t="shared" si="13"/>
        <v>0.55433999999999983</v>
      </c>
      <c r="H204" s="8">
        <f t="shared" si="12"/>
        <v>9087</v>
      </c>
      <c r="I204" s="8"/>
      <c r="J204" s="8"/>
      <c r="K204" s="8"/>
      <c r="M204">
        <v>1.006896</v>
      </c>
      <c r="N204">
        <f t="shared" si="14"/>
        <v>0.5575460000000001</v>
      </c>
      <c r="O204">
        <v>0.99385800000000002</v>
      </c>
      <c r="P204">
        <f t="shared" si="15"/>
        <v>0.56936099999999989</v>
      </c>
    </row>
    <row r="205" spans="1:16" x14ac:dyDescent="0.35">
      <c r="A205">
        <v>53</v>
      </c>
      <c r="B205">
        <v>1.0069189999999999</v>
      </c>
      <c r="C205">
        <v>51</v>
      </c>
      <c r="D205">
        <v>1.0031939999999999</v>
      </c>
      <c r="E205">
        <v>46</v>
      </c>
      <c r="F205">
        <v>0.99110399999999998</v>
      </c>
      <c r="G205" s="8">
        <f t="shared" si="13"/>
        <v>0.556141</v>
      </c>
      <c r="H205" s="8">
        <f t="shared" si="12"/>
        <v>9117</v>
      </c>
      <c r="I205" s="8"/>
      <c r="J205" s="8"/>
      <c r="K205" s="8"/>
      <c r="M205">
        <v>1.0031939999999999</v>
      </c>
      <c r="N205">
        <f t="shared" si="14"/>
        <v>0.56124800000000019</v>
      </c>
      <c r="O205">
        <v>0.99110399999999998</v>
      </c>
      <c r="P205">
        <f t="shared" si="15"/>
        <v>0.57211499999999993</v>
      </c>
    </row>
    <row r="206" spans="1:16" x14ac:dyDescent="0.35">
      <c r="A206">
        <v>52</v>
      </c>
      <c r="B206">
        <v>1.0034590000000001</v>
      </c>
      <c r="C206">
        <v>50</v>
      </c>
      <c r="D206">
        <v>0.99992800000000004</v>
      </c>
      <c r="E206">
        <v>45</v>
      </c>
      <c r="F206">
        <v>0.98824000000000001</v>
      </c>
      <c r="G206" s="8">
        <f t="shared" si="13"/>
        <v>0.55960099999999979</v>
      </c>
      <c r="H206" s="8">
        <f t="shared" si="12"/>
        <v>9173</v>
      </c>
      <c r="I206" s="8"/>
      <c r="J206" s="8"/>
      <c r="K206" s="8"/>
      <c r="M206">
        <v>0.99992800000000004</v>
      </c>
      <c r="N206">
        <f t="shared" si="14"/>
        <v>0.56451400000000007</v>
      </c>
      <c r="O206">
        <v>0.98824000000000001</v>
      </c>
      <c r="P206">
        <f t="shared" si="15"/>
        <v>0.57497899999999991</v>
      </c>
    </row>
    <row r="207" spans="1:16" x14ac:dyDescent="0.35">
      <c r="A207">
        <v>51</v>
      </c>
      <c r="B207">
        <v>0.99985599999999997</v>
      </c>
      <c r="C207">
        <v>49</v>
      </c>
      <c r="D207">
        <v>0.99740099999999998</v>
      </c>
      <c r="E207">
        <v>44</v>
      </c>
      <c r="F207">
        <v>0.98527699999999996</v>
      </c>
      <c r="G207" s="8">
        <f t="shared" si="13"/>
        <v>0.56320399999999993</v>
      </c>
      <c r="H207" s="8">
        <f t="shared" si="12"/>
        <v>9232</v>
      </c>
      <c r="I207" s="8"/>
      <c r="J207" s="8"/>
      <c r="K207" s="8"/>
      <c r="M207">
        <v>0.99740099999999998</v>
      </c>
      <c r="N207">
        <f t="shared" si="14"/>
        <v>0.56704100000000013</v>
      </c>
      <c r="O207">
        <v>0.98527699999999996</v>
      </c>
      <c r="P207">
        <f t="shared" si="15"/>
        <v>0.57794199999999996</v>
      </c>
    </row>
    <row r="208" spans="1:16" x14ac:dyDescent="0.35">
      <c r="A208">
        <v>50</v>
      </c>
      <c r="B208">
        <v>0.99644699999999997</v>
      </c>
      <c r="C208">
        <v>48</v>
      </c>
      <c r="D208">
        <v>0.99439500000000003</v>
      </c>
      <c r="E208">
        <v>43</v>
      </c>
      <c r="F208">
        <v>0.98222699999999996</v>
      </c>
      <c r="G208" s="8">
        <f t="shared" si="13"/>
        <v>0.56661299999999992</v>
      </c>
      <c r="H208" s="8">
        <f t="shared" si="12"/>
        <v>9288</v>
      </c>
      <c r="I208" s="8"/>
      <c r="J208" s="8"/>
      <c r="K208" s="8"/>
      <c r="M208">
        <v>0.99439500000000003</v>
      </c>
      <c r="N208">
        <f t="shared" si="14"/>
        <v>0.57004700000000008</v>
      </c>
      <c r="O208">
        <v>0.98222699999999996</v>
      </c>
      <c r="P208">
        <f t="shared" si="15"/>
        <v>0.58099199999999995</v>
      </c>
    </row>
    <row r="209" spans="1:16" x14ac:dyDescent="0.35">
      <c r="A209">
        <v>49</v>
      </c>
      <c r="B209">
        <v>0.99456800000000001</v>
      </c>
      <c r="C209">
        <v>47</v>
      </c>
      <c r="D209">
        <v>0.99042300000000005</v>
      </c>
      <c r="E209">
        <v>42</v>
      </c>
      <c r="F209">
        <v>0.97925499999999999</v>
      </c>
      <c r="G209" s="8">
        <f t="shared" si="13"/>
        <v>0.56849199999999989</v>
      </c>
      <c r="H209" s="8">
        <f t="shared" si="12"/>
        <v>9319</v>
      </c>
      <c r="I209" s="8"/>
      <c r="J209" s="8"/>
      <c r="K209" s="8"/>
      <c r="M209">
        <v>0.99042300000000005</v>
      </c>
      <c r="N209">
        <f t="shared" si="14"/>
        <v>0.57401900000000006</v>
      </c>
      <c r="O209">
        <v>0.97925499999999999</v>
      </c>
      <c r="P209">
        <f t="shared" si="15"/>
        <v>0.58396399999999993</v>
      </c>
    </row>
    <row r="210" spans="1:16" x14ac:dyDescent="0.35">
      <c r="A210">
        <v>48</v>
      </c>
      <c r="B210">
        <v>0.991367</v>
      </c>
      <c r="C210">
        <v>46</v>
      </c>
      <c r="D210">
        <v>0.98712200000000005</v>
      </c>
      <c r="E210">
        <v>41</v>
      </c>
      <c r="F210">
        <v>0.97650999999999999</v>
      </c>
      <c r="G210" s="8">
        <f t="shared" si="13"/>
        <v>0.5716929999999999</v>
      </c>
      <c r="H210" s="8">
        <f t="shared" si="12"/>
        <v>9372</v>
      </c>
      <c r="I210" s="8"/>
      <c r="J210" s="8"/>
      <c r="K210" s="8"/>
      <c r="M210">
        <v>0.98712200000000005</v>
      </c>
      <c r="N210">
        <f t="shared" si="14"/>
        <v>0.57732000000000006</v>
      </c>
      <c r="O210">
        <v>0.97650999999999999</v>
      </c>
      <c r="P210">
        <f t="shared" si="15"/>
        <v>0.58670899999999993</v>
      </c>
    </row>
    <row r="211" spans="1:16" x14ac:dyDescent="0.35">
      <c r="A211">
        <v>47</v>
      </c>
      <c r="B211">
        <v>0.98626100000000005</v>
      </c>
      <c r="C211">
        <v>45</v>
      </c>
      <c r="D211">
        <v>0.98464799999999997</v>
      </c>
      <c r="E211">
        <v>40</v>
      </c>
      <c r="F211">
        <v>0.97341</v>
      </c>
      <c r="G211" s="8">
        <f t="shared" si="13"/>
        <v>0.57679899999999984</v>
      </c>
      <c r="H211" s="8">
        <f t="shared" si="12"/>
        <v>9455</v>
      </c>
      <c r="I211" s="8"/>
      <c r="J211" s="8"/>
      <c r="K211" s="8"/>
      <c r="M211">
        <v>0.98464799999999997</v>
      </c>
      <c r="N211">
        <f t="shared" si="14"/>
        <v>0.57979400000000014</v>
      </c>
      <c r="O211">
        <v>0.97341</v>
      </c>
      <c r="P211">
        <f t="shared" si="15"/>
        <v>0.58980899999999992</v>
      </c>
    </row>
    <row r="212" spans="1:16" x14ac:dyDescent="0.35">
      <c r="A212">
        <v>46</v>
      </c>
      <c r="B212">
        <v>0.98288600000000004</v>
      </c>
      <c r="C212">
        <v>44</v>
      </c>
      <c r="D212">
        <v>0.98145499999999997</v>
      </c>
      <c r="E212">
        <v>39</v>
      </c>
      <c r="F212">
        <v>0.96775999999999995</v>
      </c>
      <c r="G212" s="8">
        <f t="shared" si="13"/>
        <v>0.58017399999999986</v>
      </c>
      <c r="H212" s="8">
        <f t="shared" si="12"/>
        <v>9511</v>
      </c>
      <c r="I212" s="8"/>
      <c r="J212" s="8"/>
      <c r="K212" s="8"/>
      <c r="M212">
        <v>0.98145499999999997</v>
      </c>
      <c r="N212">
        <f t="shared" si="14"/>
        <v>0.58298700000000014</v>
      </c>
      <c r="O212">
        <v>0.96775999999999995</v>
      </c>
      <c r="P212">
        <f t="shared" si="15"/>
        <v>0.59545899999999996</v>
      </c>
    </row>
    <row r="213" spans="1:16" x14ac:dyDescent="0.35">
      <c r="A213">
        <v>45</v>
      </c>
      <c r="B213">
        <v>0.98114000000000001</v>
      </c>
      <c r="C213">
        <v>43</v>
      </c>
      <c r="D213">
        <v>0.97780699999999998</v>
      </c>
      <c r="E213">
        <v>38</v>
      </c>
      <c r="F213">
        <v>0.96481499999999998</v>
      </c>
      <c r="G213" s="8">
        <f t="shared" si="13"/>
        <v>0.58191999999999988</v>
      </c>
      <c r="H213" s="8">
        <f t="shared" si="12"/>
        <v>9539</v>
      </c>
      <c r="I213" s="8"/>
      <c r="J213" s="8"/>
      <c r="K213" s="8"/>
      <c r="M213">
        <v>0.97780699999999998</v>
      </c>
      <c r="N213">
        <f t="shared" si="14"/>
        <v>0.58663500000000013</v>
      </c>
      <c r="O213">
        <v>0.96481499999999998</v>
      </c>
      <c r="P213">
        <f t="shared" si="15"/>
        <v>0.59840399999999994</v>
      </c>
    </row>
    <row r="214" spans="1:16" x14ac:dyDescent="0.35">
      <c r="A214">
        <v>44</v>
      </c>
      <c r="B214">
        <v>0.97777199999999997</v>
      </c>
      <c r="C214">
        <v>42</v>
      </c>
      <c r="D214">
        <v>0.97478500000000001</v>
      </c>
      <c r="E214">
        <v>37</v>
      </c>
      <c r="F214">
        <v>0.96180900000000003</v>
      </c>
      <c r="G214" s="8">
        <f t="shared" si="13"/>
        <v>0.58528799999999992</v>
      </c>
      <c r="H214" s="8">
        <f t="shared" si="12"/>
        <v>9594</v>
      </c>
      <c r="I214" s="8"/>
      <c r="J214" s="8"/>
      <c r="K214" s="8"/>
      <c r="M214">
        <v>0.97478500000000001</v>
      </c>
      <c r="N214">
        <f t="shared" si="14"/>
        <v>0.5896570000000001</v>
      </c>
      <c r="O214">
        <v>0.96180900000000003</v>
      </c>
      <c r="P214">
        <f t="shared" si="15"/>
        <v>0.60140999999999989</v>
      </c>
    </row>
    <row r="215" spans="1:16" x14ac:dyDescent="0.35">
      <c r="A215">
        <v>43</v>
      </c>
      <c r="B215">
        <v>0.97402200000000005</v>
      </c>
      <c r="C215">
        <v>41</v>
      </c>
      <c r="D215">
        <v>0.972333</v>
      </c>
      <c r="E215">
        <v>36</v>
      </c>
      <c r="F215">
        <v>0.95895600000000003</v>
      </c>
      <c r="G215" s="8">
        <f t="shared" si="13"/>
        <v>0.58903799999999984</v>
      </c>
      <c r="H215" s="8">
        <f t="shared" si="12"/>
        <v>9656</v>
      </c>
      <c r="I215" s="8"/>
      <c r="J215" s="8"/>
      <c r="K215" s="8"/>
      <c r="M215">
        <v>0.972333</v>
      </c>
      <c r="N215">
        <f t="shared" si="14"/>
        <v>0.59210900000000011</v>
      </c>
      <c r="O215">
        <v>0.95895600000000003</v>
      </c>
      <c r="P215">
        <f t="shared" si="15"/>
        <v>0.60426299999999988</v>
      </c>
    </row>
    <row r="216" spans="1:16" x14ac:dyDescent="0.35">
      <c r="A216">
        <v>42</v>
      </c>
      <c r="B216">
        <v>0.97067700000000001</v>
      </c>
      <c r="C216">
        <v>40</v>
      </c>
      <c r="D216">
        <v>0.96904199999999996</v>
      </c>
      <c r="E216">
        <v>35</v>
      </c>
      <c r="F216">
        <v>0.95577800000000002</v>
      </c>
      <c r="G216" s="8">
        <f t="shared" si="13"/>
        <v>0.59238299999999988</v>
      </c>
      <c r="H216" s="8">
        <f t="shared" si="12"/>
        <v>9711</v>
      </c>
      <c r="I216" s="8"/>
      <c r="J216" s="8"/>
      <c r="K216" s="8"/>
      <c r="M216">
        <v>0.96904199999999996</v>
      </c>
      <c r="N216">
        <f t="shared" si="14"/>
        <v>0.59540000000000015</v>
      </c>
      <c r="O216">
        <v>0.95577800000000002</v>
      </c>
      <c r="P216">
        <f t="shared" si="15"/>
        <v>0.6074409999999999</v>
      </c>
    </row>
    <row r="217" spans="1:16" x14ac:dyDescent="0.35">
      <c r="A217">
        <v>41</v>
      </c>
      <c r="B217">
        <v>0.96885500000000002</v>
      </c>
      <c r="C217">
        <v>39</v>
      </c>
      <c r="D217">
        <v>0.96699900000000005</v>
      </c>
      <c r="E217">
        <v>34</v>
      </c>
      <c r="F217">
        <v>0.95290300000000006</v>
      </c>
      <c r="G217" s="8">
        <f t="shared" si="13"/>
        <v>0.59420499999999987</v>
      </c>
      <c r="H217" s="8">
        <f t="shared" si="12"/>
        <v>9741</v>
      </c>
      <c r="I217" s="8"/>
      <c r="J217" s="8"/>
      <c r="K217" s="8"/>
      <c r="M217">
        <v>0.96699900000000005</v>
      </c>
      <c r="N217">
        <f t="shared" si="14"/>
        <v>0.59744300000000006</v>
      </c>
      <c r="O217">
        <v>0.95290300000000006</v>
      </c>
      <c r="P217">
        <f t="shared" si="15"/>
        <v>0.61031599999999986</v>
      </c>
    </row>
    <row r="218" spans="1:16" x14ac:dyDescent="0.35">
      <c r="A218">
        <v>40</v>
      </c>
      <c r="B218">
        <v>0.96565199999999995</v>
      </c>
      <c r="C218">
        <v>38</v>
      </c>
      <c r="D218">
        <v>0.96375299999999997</v>
      </c>
      <c r="E218">
        <v>33</v>
      </c>
      <c r="F218">
        <v>0.95001500000000005</v>
      </c>
      <c r="G218" s="8">
        <f t="shared" si="13"/>
        <v>0.59740799999999994</v>
      </c>
      <c r="H218" s="8">
        <f t="shared" si="12"/>
        <v>9793</v>
      </c>
      <c r="I218" s="8"/>
      <c r="J218" s="8"/>
      <c r="K218" s="8"/>
      <c r="M218">
        <v>0.96375299999999997</v>
      </c>
      <c r="N218">
        <f t="shared" si="14"/>
        <v>0.60068900000000014</v>
      </c>
      <c r="O218">
        <v>0.95001500000000005</v>
      </c>
      <c r="P218">
        <f t="shared" si="15"/>
        <v>0.61320399999999986</v>
      </c>
    </row>
    <row r="219" spans="1:16" x14ac:dyDescent="0.35">
      <c r="A219">
        <v>39</v>
      </c>
      <c r="B219">
        <v>0.96303000000000005</v>
      </c>
      <c r="C219">
        <v>37</v>
      </c>
      <c r="D219">
        <v>0.96135199999999998</v>
      </c>
      <c r="E219">
        <v>32</v>
      </c>
      <c r="F219">
        <v>0.94709500000000002</v>
      </c>
      <c r="G219" s="8">
        <f t="shared" si="13"/>
        <v>0.60002999999999984</v>
      </c>
      <c r="H219" s="8">
        <f t="shared" si="12"/>
        <v>9836</v>
      </c>
      <c r="I219" s="8"/>
      <c r="J219" s="8"/>
      <c r="K219" s="8"/>
      <c r="M219">
        <v>0.96135199999999998</v>
      </c>
      <c r="N219">
        <f t="shared" si="14"/>
        <v>0.60309000000000013</v>
      </c>
      <c r="O219">
        <v>0.94709500000000002</v>
      </c>
      <c r="P219">
        <f t="shared" si="15"/>
        <v>0.61612399999999989</v>
      </c>
    </row>
    <row r="220" spans="1:16" x14ac:dyDescent="0.35">
      <c r="A220">
        <v>38</v>
      </c>
      <c r="B220">
        <v>0.95975500000000002</v>
      </c>
      <c r="C220">
        <v>36</v>
      </c>
      <c r="D220">
        <v>0.958148</v>
      </c>
      <c r="E220">
        <v>31</v>
      </c>
      <c r="F220">
        <v>0.94592600000000004</v>
      </c>
      <c r="G220" s="8">
        <f t="shared" si="13"/>
        <v>0.60330499999999987</v>
      </c>
      <c r="H220" s="8">
        <f t="shared" si="12"/>
        <v>9890</v>
      </c>
      <c r="I220" s="8"/>
      <c r="J220" s="8"/>
      <c r="K220" s="8"/>
      <c r="M220">
        <v>0.958148</v>
      </c>
      <c r="N220">
        <f t="shared" si="14"/>
        <v>0.60629400000000011</v>
      </c>
      <c r="O220">
        <v>0.94592600000000004</v>
      </c>
      <c r="P220">
        <f t="shared" si="15"/>
        <v>0.61729299999999987</v>
      </c>
    </row>
    <row r="221" spans="1:16" x14ac:dyDescent="0.35">
      <c r="A221">
        <v>37</v>
      </c>
      <c r="B221">
        <v>0.95774099999999995</v>
      </c>
      <c r="C221">
        <v>35</v>
      </c>
      <c r="D221">
        <v>0.954592</v>
      </c>
      <c r="E221">
        <v>30</v>
      </c>
      <c r="F221">
        <v>0.94294199999999995</v>
      </c>
      <c r="G221" s="8">
        <f t="shared" si="13"/>
        <v>0.60531899999999994</v>
      </c>
      <c r="H221" s="8">
        <f t="shared" si="12"/>
        <v>9923</v>
      </c>
      <c r="I221" s="12"/>
      <c r="J221" s="13"/>
      <c r="K221" s="14"/>
      <c r="M221">
        <v>0.954592</v>
      </c>
      <c r="N221">
        <f t="shared" si="14"/>
        <v>0.60985000000000011</v>
      </c>
      <c r="O221">
        <v>0.94294199999999995</v>
      </c>
      <c r="P221">
        <f t="shared" si="15"/>
        <v>0.62027699999999997</v>
      </c>
    </row>
    <row r="222" spans="1:16" x14ac:dyDescent="0.35">
      <c r="A222">
        <v>36</v>
      </c>
      <c r="B222">
        <v>0.95463799999999999</v>
      </c>
      <c r="C222">
        <v>34</v>
      </c>
      <c r="D222">
        <v>0.95133400000000001</v>
      </c>
      <c r="E222">
        <v>29</v>
      </c>
      <c r="F222">
        <v>0.93995099999999998</v>
      </c>
      <c r="G222" s="8">
        <f t="shared" si="13"/>
        <v>0.60842199999999991</v>
      </c>
      <c r="H222" s="8">
        <f t="shared" si="12"/>
        <v>9974</v>
      </c>
      <c r="I222" s="8"/>
      <c r="J222" s="9"/>
      <c r="K222" s="10"/>
      <c r="M222">
        <v>0.95133400000000001</v>
      </c>
      <c r="N222">
        <f t="shared" si="14"/>
        <v>0.6131080000000001</v>
      </c>
      <c r="O222">
        <v>0.93995099999999998</v>
      </c>
      <c r="P222">
        <f t="shared" si="15"/>
        <v>0.62326799999999993</v>
      </c>
    </row>
    <row r="223" spans="1:16" x14ac:dyDescent="0.35">
      <c r="A223">
        <v>35</v>
      </c>
      <c r="B223">
        <v>0.950936</v>
      </c>
      <c r="C223">
        <v>33</v>
      </c>
      <c r="D223">
        <v>0.94895200000000002</v>
      </c>
      <c r="E223">
        <v>28</v>
      </c>
      <c r="F223">
        <v>0.93689299999999998</v>
      </c>
      <c r="G223" s="8">
        <f t="shared" si="13"/>
        <v>0.61212399999999989</v>
      </c>
      <c r="H223" s="8">
        <f t="shared" si="12"/>
        <v>10034</v>
      </c>
      <c r="I223" s="8"/>
      <c r="J223" s="9"/>
      <c r="K223" s="10"/>
      <c r="M223">
        <v>0.94895200000000002</v>
      </c>
      <c r="N223">
        <f t="shared" si="14"/>
        <v>0.61549000000000009</v>
      </c>
      <c r="O223">
        <v>0.93689299999999998</v>
      </c>
      <c r="P223">
        <f t="shared" si="15"/>
        <v>0.62632599999999994</v>
      </c>
    </row>
    <row r="224" spans="1:16" x14ac:dyDescent="0.35">
      <c r="A224">
        <v>34</v>
      </c>
      <c r="B224">
        <v>0.947403</v>
      </c>
      <c r="C224">
        <v>32</v>
      </c>
      <c r="D224">
        <v>0.94578600000000002</v>
      </c>
      <c r="E224">
        <v>27</v>
      </c>
      <c r="F224">
        <v>0.93380799999999997</v>
      </c>
      <c r="G224" s="8">
        <f t="shared" si="13"/>
        <v>0.6156569999999999</v>
      </c>
      <c r="H224" s="8">
        <f t="shared" si="12"/>
        <v>10092</v>
      </c>
      <c r="I224" s="8"/>
      <c r="J224" s="9"/>
      <c r="K224" s="10"/>
      <c r="M224">
        <v>0.94578600000000002</v>
      </c>
      <c r="N224">
        <f t="shared" si="14"/>
        <v>0.61865600000000009</v>
      </c>
      <c r="O224">
        <v>0.93380799999999997</v>
      </c>
      <c r="P224">
        <f t="shared" si="15"/>
        <v>0.62941099999999994</v>
      </c>
    </row>
    <row r="225" spans="1:16" x14ac:dyDescent="0.35">
      <c r="A225">
        <v>33</v>
      </c>
      <c r="B225">
        <v>0.94562000000000002</v>
      </c>
      <c r="C225">
        <v>31</v>
      </c>
      <c r="D225">
        <v>0.93983799999999995</v>
      </c>
      <c r="E225">
        <v>26</v>
      </c>
      <c r="F225">
        <v>0.930871</v>
      </c>
      <c r="G225" s="8">
        <f t="shared" si="13"/>
        <v>0.61743999999999988</v>
      </c>
      <c r="H225" s="8">
        <f t="shared" si="12"/>
        <v>10121</v>
      </c>
      <c r="I225" s="8"/>
      <c r="J225" s="9"/>
      <c r="K225" s="10"/>
      <c r="M225">
        <v>0.93983799999999995</v>
      </c>
      <c r="N225">
        <f t="shared" si="14"/>
        <v>0.62460400000000016</v>
      </c>
      <c r="O225">
        <v>0.930871</v>
      </c>
      <c r="P225">
        <f t="shared" si="15"/>
        <v>0.63234799999999991</v>
      </c>
    </row>
    <row r="226" spans="1:16" x14ac:dyDescent="0.35">
      <c r="A226">
        <v>32</v>
      </c>
      <c r="B226">
        <v>0.94231699999999996</v>
      </c>
      <c r="C226">
        <v>30</v>
      </c>
      <c r="D226">
        <v>0.936558</v>
      </c>
      <c r="E226">
        <v>25</v>
      </c>
      <c r="F226">
        <v>0.92792200000000002</v>
      </c>
      <c r="G226" s="8">
        <f t="shared" si="13"/>
        <v>0.62074299999999993</v>
      </c>
      <c r="H226" s="8">
        <f t="shared" si="12"/>
        <v>10176</v>
      </c>
      <c r="I226" s="8"/>
      <c r="J226" s="9"/>
      <c r="K226" s="10"/>
      <c r="M226">
        <v>0.936558</v>
      </c>
      <c r="N226">
        <f t="shared" si="14"/>
        <v>0.62788400000000011</v>
      </c>
      <c r="O226">
        <v>0.92792200000000002</v>
      </c>
      <c r="P226">
        <f t="shared" si="15"/>
        <v>0.63529699999999989</v>
      </c>
    </row>
    <row r="227" spans="1:16" x14ac:dyDescent="0.35">
      <c r="A227">
        <v>31</v>
      </c>
      <c r="B227">
        <v>0.939751</v>
      </c>
      <c r="C227">
        <v>29</v>
      </c>
      <c r="D227">
        <v>0.93408899999999995</v>
      </c>
      <c r="E227">
        <v>24</v>
      </c>
      <c r="F227">
        <v>0.92509200000000003</v>
      </c>
      <c r="G227" s="8">
        <f t="shared" si="13"/>
        <v>0.62330899999999989</v>
      </c>
      <c r="H227" s="8">
        <f t="shared" si="12"/>
        <v>10218</v>
      </c>
      <c r="I227" s="8"/>
      <c r="J227" s="9"/>
      <c r="K227" s="10"/>
      <c r="M227">
        <v>0.93408899999999995</v>
      </c>
      <c r="N227">
        <f t="shared" si="14"/>
        <v>0.63035300000000016</v>
      </c>
      <c r="O227">
        <v>0.92509200000000003</v>
      </c>
      <c r="P227">
        <f t="shared" si="15"/>
        <v>0.63812699999999989</v>
      </c>
    </row>
    <row r="228" spans="1:16" x14ac:dyDescent="0.35">
      <c r="A228">
        <v>30</v>
      </c>
      <c r="B228">
        <v>0.93642300000000001</v>
      </c>
      <c r="C228">
        <v>28</v>
      </c>
      <c r="D228">
        <v>0.93087900000000001</v>
      </c>
      <c r="E228">
        <v>23</v>
      </c>
      <c r="F228">
        <v>0.91919499999999998</v>
      </c>
      <c r="G228" s="8">
        <f t="shared" si="13"/>
        <v>0.62663699999999989</v>
      </c>
      <c r="H228" s="8">
        <f t="shared" si="12"/>
        <v>10272</v>
      </c>
      <c r="I228" s="8"/>
      <c r="J228" s="9"/>
      <c r="K228" s="10"/>
      <c r="M228">
        <v>0.93087900000000001</v>
      </c>
      <c r="N228">
        <f t="shared" si="14"/>
        <v>0.6335630000000001</v>
      </c>
      <c r="O228">
        <v>0.91919499999999998</v>
      </c>
      <c r="P228">
        <f t="shared" si="15"/>
        <v>0.64402399999999993</v>
      </c>
    </row>
    <row r="229" spans="1:16" x14ac:dyDescent="0.35">
      <c r="A229">
        <v>29</v>
      </c>
      <c r="B229">
        <v>0.93451899999999999</v>
      </c>
      <c r="C229">
        <v>27</v>
      </c>
      <c r="D229">
        <v>0.92724399999999996</v>
      </c>
      <c r="E229">
        <v>22</v>
      </c>
      <c r="F229">
        <v>0.91625299999999998</v>
      </c>
      <c r="G229" s="8">
        <f t="shared" si="13"/>
        <v>0.62854099999999991</v>
      </c>
      <c r="H229" s="8">
        <f t="shared" si="12"/>
        <v>10303</v>
      </c>
      <c r="I229" s="8"/>
      <c r="J229" s="9"/>
      <c r="K229" s="10"/>
      <c r="M229">
        <v>0.92724399999999996</v>
      </c>
      <c r="N229">
        <f t="shared" si="14"/>
        <v>0.63719800000000015</v>
      </c>
      <c r="O229">
        <v>0.91625299999999998</v>
      </c>
      <c r="P229">
        <f t="shared" si="15"/>
        <v>0.64696599999999993</v>
      </c>
    </row>
    <row r="230" spans="1:16" x14ac:dyDescent="0.35">
      <c r="A230">
        <v>28</v>
      </c>
      <c r="B230">
        <v>0.93111699999999997</v>
      </c>
      <c r="C230">
        <v>26</v>
      </c>
      <c r="D230">
        <v>0.92399200000000004</v>
      </c>
      <c r="E230">
        <v>21</v>
      </c>
      <c r="F230">
        <v>0.91334899999999997</v>
      </c>
      <c r="G230" s="8">
        <f t="shared" si="13"/>
        <v>0.63194299999999992</v>
      </c>
      <c r="H230" s="8">
        <f t="shared" si="12"/>
        <v>10359</v>
      </c>
      <c r="I230" s="8"/>
      <c r="J230" s="9"/>
      <c r="K230" s="10"/>
      <c r="M230">
        <v>0.92399200000000004</v>
      </c>
      <c r="N230">
        <f t="shared" si="14"/>
        <v>0.64045000000000007</v>
      </c>
      <c r="O230">
        <v>0.91334899999999997</v>
      </c>
      <c r="P230">
        <f t="shared" si="15"/>
        <v>0.64986999999999995</v>
      </c>
    </row>
    <row r="231" spans="1:16" x14ac:dyDescent="0.35">
      <c r="A231">
        <v>27</v>
      </c>
      <c r="B231">
        <v>0.92749400000000004</v>
      </c>
      <c r="C231">
        <v>25</v>
      </c>
      <c r="D231">
        <v>0.92125500000000005</v>
      </c>
      <c r="E231">
        <v>20</v>
      </c>
      <c r="F231">
        <v>0.91026899999999999</v>
      </c>
      <c r="G231" s="8">
        <f t="shared" si="13"/>
        <v>0.63556599999999985</v>
      </c>
      <c r="H231" s="8">
        <f t="shared" si="12"/>
        <v>10419</v>
      </c>
      <c r="I231" s="8"/>
      <c r="J231" s="9"/>
      <c r="K231" s="10"/>
      <c r="M231">
        <v>0.92125500000000005</v>
      </c>
      <c r="N231">
        <f t="shared" si="14"/>
        <v>0.64318700000000006</v>
      </c>
      <c r="O231">
        <v>0.91026899999999999</v>
      </c>
      <c r="P231">
        <f t="shared" si="15"/>
        <v>0.65294999999999992</v>
      </c>
    </row>
    <row r="232" spans="1:16" x14ac:dyDescent="0.35">
      <c r="A232">
        <v>26</v>
      </c>
      <c r="B232">
        <v>0.92411699999999997</v>
      </c>
      <c r="C232">
        <v>24</v>
      </c>
      <c r="D232">
        <v>0.91815000000000002</v>
      </c>
      <c r="E232">
        <v>19</v>
      </c>
      <c r="F232">
        <v>0.907053</v>
      </c>
      <c r="G232" s="8">
        <f t="shared" si="13"/>
        <v>0.63894299999999993</v>
      </c>
      <c r="H232" s="8">
        <f t="shared" si="12"/>
        <v>10474</v>
      </c>
      <c r="I232" s="8"/>
      <c r="J232" s="9"/>
      <c r="K232" s="10"/>
      <c r="M232">
        <v>0.91815000000000002</v>
      </c>
      <c r="N232">
        <f t="shared" si="14"/>
        <v>0.64629200000000009</v>
      </c>
      <c r="O232">
        <v>0.907053</v>
      </c>
      <c r="P232">
        <f t="shared" si="15"/>
        <v>0.65616599999999992</v>
      </c>
    </row>
    <row r="233" spans="1:16" x14ac:dyDescent="0.35">
      <c r="A233">
        <v>25</v>
      </c>
      <c r="B233">
        <v>0.92210999999999999</v>
      </c>
      <c r="C233">
        <v>23</v>
      </c>
      <c r="D233">
        <v>0.91615599999999997</v>
      </c>
      <c r="E233">
        <v>18</v>
      </c>
      <c r="F233">
        <v>0.90401699999999996</v>
      </c>
      <c r="G233" s="8">
        <f t="shared" si="13"/>
        <v>0.64094999999999991</v>
      </c>
      <c r="H233" s="8">
        <f t="shared" si="12"/>
        <v>10507</v>
      </c>
      <c r="I233" s="8"/>
      <c r="J233" s="9"/>
      <c r="K233" s="10"/>
      <c r="M233">
        <v>0.91615599999999997</v>
      </c>
      <c r="N233">
        <f t="shared" si="14"/>
        <v>0.64828600000000014</v>
      </c>
      <c r="O233">
        <v>0.90401699999999996</v>
      </c>
      <c r="P233">
        <f t="shared" si="15"/>
        <v>0.65920199999999995</v>
      </c>
    </row>
    <row r="234" spans="1:16" x14ac:dyDescent="0.35">
      <c r="A234">
        <v>24</v>
      </c>
      <c r="B234">
        <v>0.91887300000000005</v>
      </c>
      <c r="C234">
        <v>22</v>
      </c>
      <c r="D234">
        <v>0.912767</v>
      </c>
      <c r="E234">
        <v>17</v>
      </c>
      <c r="F234">
        <v>0.90116300000000005</v>
      </c>
      <c r="G234" s="8">
        <f t="shared" si="13"/>
        <v>0.64418699999999984</v>
      </c>
      <c r="H234" s="8">
        <f t="shared" si="12"/>
        <v>10560</v>
      </c>
      <c r="I234" s="8"/>
      <c r="J234" s="9"/>
      <c r="K234" s="10"/>
      <c r="M234">
        <v>0.912767</v>
      </c>
      <c r="N234">
        <f t="shared" si="14"/>
        <v>0.65167500000000012</v>
      </c>
      <c r="O234">
        <v>0.90116300000000005</v>
      </c>
      <c r="P234">
        <f t="shared" si="15"/>
        <v>0.66205599999999987</v>
      </c>
    </row>
    <row r="235" spans="1:16" x14ac:dyDescent="0.35">
      <c r="A235">
        <v>23</v>
      </c>
      <c r="B235">
        <v>0.91618299999999997</v>
      </c>
      <c r="C235">
        <v>21</v>
      </c>
      <c r="D235">
        <v>0.91044400000000003</v>
      </c>
      <c r="E235">
        <v>16</v>
      </c>
      <c r="F235">
        <v>0.89802899999999997</v>
      </c>
      <c r="G235" s="8">
        <f t="shared" si="13"/>
        <v>0.64687699999999992</v>
      </c>
      <c r="H235" s="8">
        <f t="shared" si="12"/>
        <v>10604</v>
      </c>
      <c r="I235" s="8"/>
      <c r="J235" s="9"/>
      <c r="K235" s="10"/>
      <c r="M235">
        <v>0.91044400000000003</v>
      </c>
      <c r="N235">
        <f t="shared" si="14"/>
        <v>0.65399800000000008</v>
      </c>
      <c r="O235">
        <v>0.89802899999999997</v>
      </c>
      <c r="P235">
        <f t="shared" si="15"/>
        <v>0.66518999999999995</v>
      </c>
    </row>
    <row r="236" spans="1:16" x14ac:dyDescent="0.35">
      <c r="A236">
        <v>22</v>
      </c>
      <c r="B236">
        <v>0.91297099999999998</v>
      </c>
      <c r="C236">
        <v>20</v>
      </c>
      <c r="D236">
        <v>0.90716699999999995</v>
      </c>
      <c r="E236">
        <v>15</v>
      </c>
      <c r="F236">
        <v>0.89337200000000005</v>
      </c>
      <c r="G236" s="8">
        <f t="shared" si="13"/>
        <v>0.65008899999999992</v>
      </c>
      <c r="H236" s="8">
        <f t="shared" si="12"/>
        <v>10657</v>
      </c>
      <c r="I236" s="8"/>
      <c r="J236" s="9"/>
      <c r="K236" s="10"/>
      <c r="M236">
        <v>0.90716699999999995</v>
      </c>
      <c r="N236">
        <f t="shared" si="14"/>
        <v>0.65727500000000016</v>
      </c>
      <c r="O236">
        <v>0.89337200000000005</v>
      </c>
      <c r="P236">
        <f t="shared" si="15"/>
        <v>0.66984699999999986</v>
      </c>
    </row>
    <row r="237" spans="1:16" x14ac:dyDescent="0.35">
      <c r="A237">
        <v>21</v>
      </c>
      <c r="B237">
        <v>0.91089500000000001</v>
      </c>
      <c r="C237">
        <v>19</v>
      </c>
      <c r="D237">
        <v>0.90355300000000005</v>
      </c>
      <c r="E237">
        <v>14</v>
      </c>
      <c r="F237">
        <v>0.89040399999999997</v>
      </c>
      <c r="G237" s="8">
        <f t="shared" si="13"/>
        <v>0.65216499999999988</v>
      </c>
      <c r="H237" s="8">
        <f t="shared" si="12"/>
        <v>10691</v>
      </c>
      <c r="I237" s="8"/>
      <c r="J237" s="9"/>
      <c r="K237" s="10"/>
      <c r="M237">
        <v>0.90355300000000005</v>
      </c>
      <c r="N237">
        <f t="shared" si="14"/>
        <v>0.66088900000000006</v>
      </c>
      <c r="O237">
        <v>0.89040399999999997</v>
      </c>
      <c r="P237">
        <f t="shared" si="15"/>
        <v>0.67281499999999994</v>
      </c>
    </row>
    <row r="238" spans="1:16" x14ac:dyDescent="0.35">
      <c r="A238">
        <v>20</v>
      </c>
      <c r="B238">
        <v>0.90758099999999997</v>
      </c>
      <c r="C238">
        <v>18</v>
      </c>
      <c r="D238">
        <v>0.90030100000000002</v>
      </c>
      <c r="E238">
        <v>13</v>
      </c>
      <c r="F238">
        <v>0.88750499999999999</v>
      </c>
      <c r="G238" s="8">
        <f t="shared" si="13"/>
        <v>0.65547899999999992</v>
      </c>
      <c r="H238" s="8">
        <f t="shared" si="12"/>
        <v>10745</v>
      </c>
      <c r="I238" s="8"/>
      <c r="J238" s="9"/>
      <c r="K238" s="10"/>
      <c r="M238">
        <v>0.90030100000000002</v>
      </c>
      <c r="N238">
        <f t="shared" si="14"/>
        <v>0.66414100000000009</v>
      </c>
      <c r="O238">
        <v>0.88750499999999999</v>
      </c>
      <c r="P238">
        <f t="shared" si="15"/>
        <v>0.67571399999999993</v>
      </c>
    </row>
    <row r="239" spans="1:16" x14ac:dyDescent="0.35">
      <c r="A239">
        <v>19</v>
      </c>
      <c r="B239">
        <v>0.903698</v>
      </c>
      <c r="C239">
        <v>17</v>
      </c>
      <c r="D239">
        <v>0.89758800000000005</v>
      </c>
      <c r="E239">
        <v>12</v>
      </c>
      <c r="F239">
        <v>0.88438000000000005</v>
      </c>
      <c r="G239" s="8">
        <f t="shared" si="13"/>
        <v>0.65936199999999989</v>
      </c>
      <c r="H239" s="8">
        <f t="shared" si="12"/>
        <v>10809</v>
      </c>
      <c r="I239" s="8"/>
      <c r="J239" s="9"/>
      <c r="K239" s="10"/>
      <c r="M239">
        <v>0.89758800000000005</v>
      </c>
      <c r="N239">
        <f t="shared" si="14"/>
        <v>0.66685400000000006</v>
      </c>
      <c r="O239">
        <v>0.88438000000000005</v>
      </c>
      <c r="P239">
        <f t="shared" si="15"/>
        <v>0.67883899999999986</v>
      </c>
    </row>
    <row r="240" spans="1:16" x14ac:dyDescent="0.35">
      <c r="A240">
        <v>18</v>
      </c>
      <c r="B240">
        <v>0.90036300000000002</v>
      </c>
      <c r="C240">
        <v>16</v>
      </c>
      <c r="D240">
        <v>0.89449500000000004</v>
      </c>
      <c r="E240">
        <v>11</v>
      </c>
      <c r="F240">
        <v>0.88128099999999998</v>
      </c>
      <c r="G240" s="8">
        <f t="shared" si="13"/>
        <v>0.66269699999999987</v>
      </c>
      <c r="H240" s="8">
        <f t="shared" si="12"/>
        <v>10863</v>
      </c>
      <c r="I240" s="8"/>
      <c r="J240" s="9"/>
      <c r="K240" s="10"/>
      <c r="M240">
        <v>0.89449500000000004</v>
      </c>
      <c r="N240">
        <f t="shared" si="14"/>
        <v>0.66994700000000007</v>
      </c>
      <c r="O240">
        <v>0.88128099999999998</v>
      </c>
      <c r="P240">
        <f t="shared" si="15"/>
        <v>0.68193799999999993</v>
      </c>
    </row>
    <row r="241" spans="1:16" x14ac:dyDescent="0.35">
      <c r="A241">
        <v>17</v>
      </c>
      <c r="B241">
        <v>0.898532</v>
      </c>
      <c r="C241">
        <v>15</v>
      </c>
      <c r="D241">
        <v>0.89041800000000004</v>
      </c>
      <c r="E241">
        <v>10</v>
      </c>
      <c r="F241">
        <v>0.87803600000000004</v>
      </c>
      <c r="G241" s="8">
        <f t="shared" si="13"/>
        <v>0.6645279999999999</v>
      </c>
      <c r="H241" s="8">
        <f t="shared" si="12"/>
        <v>10893</v>
      </c>
      <c r="I241" s="8"/>
      <c r="J241" s="9"/>
      <c r="K241" s="10"/>
      <c r="M241">
        <v>0.89041800000000004</v>
      </c>
      <c r="N241">
        <f t="shared" si="14"/>
        <v>0.67402400000000007</v>
      </c>
      <c r="O241">
        <v>0.87803600000000004</v>
      </c>
      <c r="P241">
        <f t="shared" si="15"/>
        <v>0.68518299999999988</v>
      </c>
    </row>
    <row r="242" spans="1:16" x14ac:dyDescent="0.35">
      <c r="A242">
        <v>16</v>
      </c>
      <c r="B242">
        <v>0.89520900000000003</v>
      </c>
      <c r="C242">
        <v>14</v>
      </c>
      <c r="D242">
        <v>0.88717100000000004</v>
      </c>
      <c r="E242">
        <v>9</v>
      </c>
      <c r="F242">
        <v>0.87528799999999995</v>
      </c>
      <c r="G242" s="8">
        <f t="shared" si="13"/>
        <v>0.66785099999999986</v>
      </c>
      <c r="H242" s="8">
        <f t="shared" si="12"/>
        <v>10948</v>
      </c>
      <c r="I242" s="8"/>
      <c r="J242" s="9"/>
      <c r="K242" s="10"/>
      <c r="M242">
        <v>0.88717100000000004</v>
      </c>
      <c r="N242">
        <f t="shared" si="14"/>
        <v>0.67727100000000007</v>
      </c>
      <c r="O242">
        <v>0.87528799999999995</v>
      </c>
      <c r="P242">
        <f t="shared" si="15"/>
        <v>0.68793099999999996</v>
      </c>
    </row>
    <row r="243" spans="1:16" x14ac:dyDescent="0.35">
      <c r="A243">
        <v>15</v>
      </c>
      <c r="B243">
        <v>0.88998999999999995</v>
      </c>
      <c r="C243">
        <v>13</v>
      </c>
      <c r="D243">
        <v>0.88469600000000004</v>
      </c>
      <c r="E243">
        <v>8</v>
      </c>
      <c r="F243">
        <v>0.87219899999999995</v>
      </c>
      <c r="G243" s="8">
        <f t="shared" si="13"/>
        <v>0.67306999999999995</v>
      </c>
      <c r="H243" s="8">
        <f t="shared" si="12"/>
        <v>11033</v>
      </c>
      <c r="I243" s="8"/>
      <c r="J243" s="9"/>
      <c r="K243" s="10"/>
      <c r="M243">
        <v>0.88469600000000004</v>
      </c>
      <c r="N243">
        <f t="shared" si="14"/>
        <v>0.67974600000000007</v>
      </c>
      <c r="O243">
        <v>0.87219899999999995</v>
      </c>
      <c r="P243">
        <f t="shared" si="15"/>
        <v>0.69101999999999997</v>
      </c>
    </row>
    <row r="244" spans="1:16" x14ac:dyDescent="0.35">
      <c r="A244">
        <v>14</v>
      </c>
      <c r="B244">
        <v>0.88655300000000004</v>
      </c>
      <c r="C244">
        <v>12</v>
      </c>
      <c r="D244">
        <v>0.88138899999999998</v>
      </c>
      <c r="E244">
        <v>7</v>
      </c>
      <c r="F244">
        <v>0.866421</v>
      </c>
      <c r="G244" s="8">
        <f t="shared" si="13"/>
        <v>0.67650699999999986</v>
      </c>
      <c r="H244" s="8">
        <f t="shared" si="12"/>
        <v>11090</v>
      </c>
      <c r="I244" s="8"/>
      <c r="J244" s="9"/>
      <c r="K244" s="10"/>
      <c r="M244">
        <v>0.88138899999999998</v>
      </c>
      <c r="N244">
        <f t="shared" si="14"/>
        <v>0.68305300000000013</v>
      </c>
      <c r="O244">
        <v>0.866421</v>
      </c>
      <c r="P244">
        <f t="shared" si="15"/>
        <v>0.69679799999999992</v>
      </c>
    </row>
    <row r="245" spans="1:16" x14ac:dyDescent="0.35">
      <c r="A245">
        <v>13</v>
      </c>
      <c r="B245">
        <v>0.88464100000000001</v>
      </c>
      <c r="C245">
        <v>11</v>
      </c>
      <c r="D245">
        <v>0.87781399999999998</v>
      </c>
      <c r="E245">
        <v>6</v>
      </c>
      <c r="F245">
        <v>0.86339900000000003</v>
      </c>
      <c r="G245" s="8">
        <f t="shared" si="13"/>
        <v>0.67841899999999988</v>
      </c>
      <c r="H245" s="8">
        <f t="shared" si="12"/>
        <v>11121</v>
      </c>
      <c r="I245" s="8"/>
      <c r="J245" s="9"/>
      <c r="K245" s="10"/>
      <c r="M245">
        <v>0.87781399999999998</v>
      </c>
      <c r="N245">
        <f t="shared" si="14"/>
        <v>0.68662800000000013</v>
      </c>
      <c r="O245">
        <v>0.86339900000000003</v>
      </c>
      <c r="P245">
        <f t="shared" si="15"/>
        <v>0.69981999999999989</v>
      </c>
    </row>
    <row r="246" spans="1:16" x14ac:dyDescent="0.35">
      <c r="A246">
        <v>12</v>
      </c>
      <c r="B246">
        <v>0.88145799999999996</v>
      </c>
      <c r="C246">
        <v>10</v>
      </c>
      <c r="D246">
        <v>0.87457300000000004</v>
      </c>
      <c r="E246">
        <v>5</v>
      </c>
      <c r="F246">
        <v>0.86047799999999997</v>
      </c>
      <c r="G246" s="8">
        <f t="shared" si="13"/>
        <v>0.68160199999999993</v>
      </c>
      <c r="H246" s="8">
        <f t="shared" si="12"/>
        <v>11173</v>
      </c>
      <c r="I246" s="8"/>
      <c r="J246" s="9"/>
      <c r="K246" s="10"/>
      <c r="M246">
        <v>0.87457300000000004</v>
      </c>
      <c r="N246">
        <f t="shared" si="14"/>
        <v>0.68986900000000007</v>
      </c>
      <c r="O246">
        <v>0.86047799999999997</v>
      </c>
      <c r="P246">
        <f t="shared" si="15"/>
        <v>0.70274099999999995</v>
      </c>
    </row>
    <row r="247" spans="1:16" x14ac:dyDescent="0.35">
      <c r="A247">
        <v>11</v>
      </c>
      <c r="B247">
        <v>0.87761999999999996</v>
      </c>
      <c r="C247">
        <v>9</v>
      </c>
      <c r="D247">
        <v>0.87199000000000004</v>
      </c>
      <c r="E247">
        <v>4</v>
      </c>
      <c r="F247">
        <v>0.85738099999999995</v>
      </c>
      <c r="G247" s="8">
        <f t="shared" si="13"/>
        <v>0.68543999999999994</v>
      </c>
      <c r="H247" s="8">
        <f t="shared" si="12"/>
        <v>11236</v>
      </c>
      <c r="I247" s="8"/>
      <c r="J247" s="9"/>
      <c r="K247" s="10"/>
      <c r="M247">
        <v>0.87199000000000004</v>
      </c>
      <c r="N247">
        <f t="shared" si="14"/>
        <v>0.69245200000000007</v>
      </c>
      <c r="O247">
        <v>0.85738099999999995</v>
      </c>
      <c r="P247">
        <f t="shared" si="15"/>
        <v>0.70583799999999997</v>
      </c>
    </row>
    <row r="248" spans="1:16" x14ac:dyDescent="0.35">
      <c r="A248">
        <v>10</v>
      </c>
      <c r="B248">
        <v>0.87426099999999995</v>
      </c>
      <c r="C248">
        <v>8</v>
      </c>
      <c r="D248">
        <v>0.86863199999999996</v>
      </c>
      <c r="E248">
        <v>3</v>
      </c>
      <c r="F248">
        <v>0.85407200000000005</v>
      </c>
      <c r="G248" s="8">
        <f t="shared" si="13"/>
        <v>0.68879899999999994</v>
      </c>
      <c r="H248" s="8">
        <f t="shared" si="12"/>
        <v>11291</v>
      </c>
      <c r="I248" s="8"/>
      <c r="J248" s="9"/>
      <c r="K248" s="10"/>
      <c r="M248">
        <v>0.86863199999999996</v>
      </c>
      <c r="N248">
        <f t="shared" si="14"/>
        <v>0.69581000000000015</v>
      </c>
      <c r="O248">
        <v>0.85407200000000005</v>
      </c>
      <c r="P248">
        <f t="shared" si="15"/>
        <v>0.70914699999999986</v>
      </c>
    </row>
    <row r="249" spans="1:16" x14ac:dyDescent="0.35">
      <c r="A249">
        <v>9</v>
      </c>
      <c r="B249">
        <v>0.872139</v>
      </c>
      <c r="C249">
        <v>7</v>
      </c>
      <c r="D249">
        <v>0.86678999999999995</v>
      </c>
      <c r="E249">
        <v>2</v>
      </c>
      <c r="F249">
        <v>0.85108099999999998</v>
      </c>
      <c r="G249" s="8">
        <f t="shared" si="13"/>
        <v>0.6909209999999999</v>
      </c>
      <c r="H249" s="8">
        <f t="shared" si="12"/>
        <v>11326</v>
      </c>
      <c r="I249" s="8"/>
      <c r="J249" s="9"/>
      <c r="K249" s="10"/>
      <c r="M249">
        <v>0.86678999999999995</v>
      </c>
      <c r="N249">
        <f t="shared" si="14"/>
        <v>0.69765200000000016</v>
      </c>
      <c r="O249">
        <v>0.85108099999999998</v>
      </c>
      <c r="P249">
        <f t="shared" si="15"/>
        <v>0.71213799999999994</v>
      </c>
    </row>
    <row r="250" spans="1:16" x14ac:dyDescent="0.35">
      <c r="A250">
        <v>8</v>
      </c>
      <c r="B250">
        <v>0.86894300000000002</v>
      </c>
      <c r="C250">
        <v>6</v>
      </c>
      <c r="D250">
        <v>0.86347600000000002</v>
      </c>
      <c r="E250">
        <v>1</v>
      </c>
      <c r="F250">
        <v>0.84789400000000004</v>
      </c>
      <c r="G250" s="8">
        <f t="shared" si="13"/>
        <v>0.69411699999999987</v>
      </c>
      <c r="H250" s="8">
        <f t="shared" si="12"/>
        <v>11378</v>
      </c>
      <c r="I250" s="8"/>
      <c r="J250" s="9"/>
      <c r="K250" s="10"/>
      <c r="M250">
        <v>0.86347600000000002</v>
      </c>
      <c r="N250">
        <f t="shared" si="14"/>
        <v>0.70096600000000009</v>
      </c>
      <c r="O250">
        <v>0.84789400000000004</v>
      </c>
      <c r="P250">
        <f t="shared" si="15"/>
        <v>0.71532499999999988</v>
      </c>
    </row>
    <row r="251" spans="1:16" x14ac:dyDescent="0.35">
      <c r="A251">
        <v>7</v>
      </c>
      <c r="B251">
        <v>0.86614000000000002</v>
      </c>
      <c r="C251">
        <v>5</v>
      </c>
      <c r="D251">
        <v>0.86102000000000001</v>
      </c>
      <c r="E251">
        <v>0</v>
      </c>
      <c r="F251">
        <v>0.84481700000000004</v>
      </c>
      <c r="G251" s="8">
        <f t="shared" si="13"/>
        <v>0.69691999999999987</v>
      </c>
      <c r="H251" s="8">
        <f t="shared" si="12"/>
        <v>11424</v>
      </c>
      <c r="I251" s="8"/>
      <c r="J251" s="9"/>
      <c r="K251" s="10"/>
      <c r="M251">
        <v>0.86102000000000001</v>
      </c>
      <c r="N251">
        <f t="shared" si="14"/>
        <v>0.7034220000000001</v>
      </c>
      <c r="O251">
        <v>0.84481700000000004</v>
      </c>
      <c r="P251">
        <f t="shared" si="15"/>
        <v>0.71840199999999987</v>
      </c>
    </row>
    <row r="252" spans="1:16" x14ac:dyDescent="0.35">
      <c r="A252">
        <v>6</v>
      </c>
      <c r="B252">
        <v>0.86293200000000003</v>
      </c>
      <c r="C252">
        <v>4</v>
      </c>
      <c r="D252">
        <v>0.85759600000000002</v>
      </c>
      <c r="E252" s="16"/>
      <c r="F252" s="16"/>
      <c r="G252" s="8">
        <f t="shared" si="13"/>
        <v>0.70012799999999986</v>
      </c>
      <c r="H252" s="8">
        <f t="shared" si="12"/>
        <v>11477</v>
      </c>
      <c r="I252" s="8"/>
      <c r="J252" s="9"/>
      <c r="K252" s="10"/>
      <c r="M252">
        <v>0.85759600000000002</v>
      </c>
      <c r="N252">
        <f t="shared" si="14"/>
        <v>0.70684600000000009</v>
      </c>
    </row>
    <row r="253" spans="1:16" x14ac:dyDescent="0.35">
      <c r="A253">
        <v>5</v>
      </c>
      <c r="B253">
        <v>0.86099800000000004</v>
      </c>
      <c r="C253">
        <v>3</v>
      </c>
      <c r="D253">
        <v>0.85388900000000001</v>
      </c>
      <c r="E253" s="16"/>
      <c r="F253" s="16"/>
      <c r="G253" s="8">
        <f t="shared" si="13"/>
        <v>0.70206199999999985</v>
      </c>
      <c r="H253" s="8">
        <f t="shared" si="12"/>
        <v>11509</v>
      </c>
      <c r="I253" s="8"/>
      <c r="J253" s="9"/>
      <c r="K253" s="10"/>
      <c r="M253">
        <v>0.85388900000000001</v>
      </c>
      <c r="N253">
        <f t="shared" si="14"/>
        <v>0.7105530000000001</v>
      </c>
    </row>
    <row r="254" spans="1:16" x14ac:dyDescent="0.35">
      <c r="A254">
        <v>4</v>
      </c>
      <c r="B254">
        <v>0.85770000000000002</v>
      </c>
      <c r="C254">
        <v>2</v>
      </c>
      <c r="D254">
        <v>0.8508</v>
      </c>
      <c r="E254" s="16"/>
      <c r="F254" s="16"/>
      <c r="G254" s="8">
        <f t="shared" si="13"/>
        <v>0.70535999999999988</v>
      </c>
      <c r="H254" s="8">
        <f t="shared" si="12"/>
        <v>11563</v>
      </c>
      <c r="I254" s="8"/>
      <c r="J254" s="9"/>
      <c r="K254" s="10"/>
      <c r="M254">
        <v>0.8508</v>
      </c>
      <c r="N254">
        <f t="shared" si="14"/>
        <v>0.71364200000000011</v>
      </c>
    </row>
    <row r="255" spans="1:16" x14ac:dyDescent="0.35">
      <c r="A255">
        <v>3</v>
      </c>
      <c r="B255">
        <v>0.85366799999999998</v>
      </c>
      <c r="C255">
        <v>1</v>
      </c>
      <c r="D255">
        <v>0.84812399999999999</v>
      </c>
      <c r="E255" s="16"/>
      <c r="F255" s="16"/>
      <c r="G255" s="8">
        <f t="shared" si="13"/>
        <v>0.70939199999999991</v>
      </c>
      <c r="H255" s="8">
        <f t="shared" si="12"/>
        <v>11629</v>
      </c>
      <c r="I255" s="8"/>
      <c r="J255" s="9"/>
      <c r="K255" s="10"/>
      <c r="M255">
        <v>0.84812399999999999</v>
      </c>
      <c r="N255">
        <f t="shared" si="14"/>
        <v>0.71631800000000012</v>
      </c>
    </row>
    <row r="256" spans="1:16" x14ac:dyDescent="0.35">
      <c r="A256">
        <v>2</v>
      </c>
      <c r="B256">
        <v>0.85036999999999996</v>
      </c>
      <c r="C256">
        <v>0</v>
      </c>
      <c r="D256">
        <v>0.84476099999999998</v>
      </c>
      <c r="E256" s="16"/>
      <c r="F256" s="16"/>
      <c r="G256" s="8">
        <f t="shared" si="13"/>
        <v>0.71268999999999993</v>
      </c>
      <c r="H256" s="8">
        <f t="shared" si="12"/>
        <v>11683</v>
      </c>
      <c r="I256" s="8"/>
      <c r="J256" s="9"/>
      <c r="K256" s="10"/>
      <c r="M256">
        <v>0.84476099999999998</v>
      </c>
      <c r="N256">
        <f t="shared" si="14"/>
        <v>0.71968100000000013</v>
      </c>
    </row>
    <row r="257" spans="1:14" x14ac:dyDescent="0.35">
      <c r="A257">
        <v>1</v>
      </c>
      <c r="B257">
        <v>0.84829600000000005</v>
      </c>
      <c r="C257">
        <v>1</v>
      </c>
      <c r="D257">
        <v>0.873</v>
      </c>
      <c r="E257" s="16"/>
      <c r="F257" s="16"/>
      <c r="G257" s="8">
        <f t="shared" si="13"/>
        <v>0.71476399999999984</v>
      </c>
      <c r="H257" s="8">
        <f t="shared" si="12"/>
        <v>11717</v>
      </c>
      <c r="I257" s="8"/>
      <c r="J257" s="9"/>
      <c r="K257" s="10"/>
      <c r="M257">
        <v>0.873</v>
      </c>
      <c r="N257">
        <f t="shared" si="14"/>
        <v>0.69144200000000011</v>
      </c>
    </row>
    <row r="258" spans="1:14" x14ac:dyDescent="0.35">
      <c r="A258">
        <v>0</v>
      </c>
      <c r="B258">
        <v>0.84499800000000003</v>
      </c>
      <c r="C258">
        <v>0</v>
      </c>
      <c r="D258">
        <v>0.86899999999999999</v>
      </c>
      <c r="E258" s="16"/>
      <c r="F258" s="16"/>
      <c r="G258" s="8">
        <f t="shared" si="13"/>
        <v>0.71806199999999987</v>
      </c>
      <c r="H258" s="8">
        <f t="shared" si="12"/>
        <v>11771</v>
      </c>
      <c r="I258" s="8"/>
      <c r="J258" s="9"/>
      <c r="K258" s="15"/>
      <c r="M258">
        <v>0.86899999999999999</v>
      </c>
      <c r="N258">
        <f t="shared" si="14"/>
        <v>0.69544200000000012</v>
      </c>
    </row>
  </sheetData>
  <sortState xmlns:xlrd2="http://schemas.microsoft.com/office/spreadsheetml/2017/richdata2" ref="V19:W274">
    <sortCondition descending="1" ref="V19:V274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higueret_adm</dc:creator>
  <cp:lastModifiedBy>higueret_adm</cp:lastModifiedBy>
  <dcterms:created xsi:type="dcterms:W3CDTF">2025-09-25T08:27:56Z</dcterms:created>
  <dcterms:modified xsi:type="dcterms:W3CDTF">2026-04-23T08:48:03Z</dcterms:modified>
</cp:coreProperties>
</file>